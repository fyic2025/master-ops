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oogle Drive\0 Daily\"/>
    </mc:Choice>
  </mc:AlternateContent>
  <xr:revisionPtr revIDLastSave="0" documentId="13_ncr:1_{5A4D16FA-5556-4F58-8436-D4B87EDB3622}" xr6:coauthVersionLast="47" xr6:coauthVersionMax="47" xr10:uidLastSave="{00000000-0000-0000-0000-000000000000}"/>
  <bookViews>
    <workbookView xWindow="2790" yWindow="480" windowWidth="13395" windowHeight="14325" tabRatio="691" xr2:uid="{00000000-000D-0000-FFFF-FFFF00000000}"/>
  </bookViews>
  <sheets>
    <sheet name="WS_Order Form " sheetId="14" r:id="rId1"/>
    <sheet name="WS_Catalogue 2025" sheetId="10" r:id="rId2"/>
  </sheets>
  <definedNames>
    <definedName name="_xlnm._FilterDatabase" localSheetId="1" hidden="1">'WS_Catalogue 2025'!#REF!</definedName>
    <definedName name="_xlnm._FilterDatabase" localSheetId="0" hidden="1">'WS_Order Form '!#REF!</definedName>
    <definedName name="_xlnm.Print_Area" localSheetId="1">'WS_Catalogue 2025'!$A$1:$R$336</definedName>
    <definedName name="_xlnm.Print_Area" localSheetId="0">'WS_Order Form '!$A$1:$I$351</definedName>
    <definedName name="_xlnm.Print_Titles" localSheetId="1">'WS_Catalogue 2025'!$1:$7</definedName>
    <definedName name="_xlnm.Print_Titles" localSheetId="0">'WS_Order Form '!$1:$15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18" i="14" l="1"/>
  <c r="I317" i="14"/>
  <c r="I316" i="14"/>
  <c r="I315" i="14"/>
  <c r="I314" i="14"/>
  <c r="I313" i="14"/>
  <c r="I312" i="14"/>
  <c r="I311" i="14"/>
  <c r="I310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330" i="14"/>
  <c r="I329" i="14"/>
  <c r="I328" i="14"/>
  <c r="I272" i="14" l="1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345" i="14"/>
  <c r="I344" i="14"/>
  <c r="I343" i="14"/>
  <c r="I25" i="14"/>
  <c r="I24" i="14"/>
  <c r="I23" i="14"/>
  <c r="I22" i="14"/>
  <c r="I21" i="14"/>
  <c r="I18" i="14"/>
  <c r="I17" i="14"/>
  <c r="I19" i="14"/>
  <c r="I27" i="14"/>
  <c r="I28" i="14"/>
  <c r="I29" i="14"/>
  <c r="I30" i="14"/>
  <c r="I32" i="14"/>
  <c r="I33" i="14"/>
  <c r="I34" i="14"/>
  <c r="I35" i="14"/>
  <c r="I36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1" i="14"/>
  <c r="I52" i="14"/>
  <c r="I53" i="14"/>
  <c r="I54" i="14"/>
  <c r="I55" i="14"/>
  <c r="I57" i="14"/>
  <c r="I58" i="14"/>
  <c r="I59" i="14"/>
  <c r="I60" i="14"/>
  <c r="I62" i="14"/>
  <c r="I63" i="14"/>
  <c r="I64" i="14"/>
  <c r="I65" i="14"/>
  <c r="I66" i="14"/>
  <c r="I67" i="14"/>
  <c r="I68" i="14"/>
  <c r="I69" i="14"/>
  <c r="I70" i="14"/>
  <c r="I71" i="14"/>
  <c r="I72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4" i="14"/>
  <c r="I95" i="14"/>
  <c r="I96" i="14"/>
  <c r="I97" i="14"/>
  <c r="I98" i="14"/>
  <c r="I99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320" i="14"/>
  <c r="I321" i="14"/>
  <c r="I322" i="14"/>
  <c r="I323" i="14"/>
  <c r="I324" i="14"/>
  <c r="I326" i="14"/>
  <c r="I327" i="14"/>
  <c r="I332" i="14"/>
  <c r="I333" i="14"/>
  <c r="I334" i="14"/>
  <c r="I335" i="14"/>
  <c r="I337" i="14"/>
  <c r="I338" i="14"/>
  <c r="I339" i="14"/>
  <c r="I340" i="14"/>
  <c r="I341" i="14"/>
  <c r="I3" i="14"/>
  <c r="I13" i="14"/>
  <c r="G13" i="14"/>
  <c r="I12" i="14"/>
  <c r="G12" i="14"/>
  <c r="G11" i="14"/>
  <c r="G10" i="14"/>
  <c r="G9" i="14"/>
  <c r="G8" i="14"/>
  <c r="I348" i="14" l="1"/>
  <c r="I350" i="14" s="1"/>
  <c r="I351" i="14" s="1"/>
</calcChain>
</file>

<file path=xl/sharedStrings.xml><?xml version="1.0" encoding="utf-8"?>
<sst xmlns="http://schemas.openxmlformats.org/spreadsheetml/2006/main" count="2953" uniqueCount="1408">
  <si>
    <t>BASIL OIL 10ml</t>
  </si>
  <si>
    <t>BERGAMOT OIL BERGAPTENE FREE 10ml</t>
  </si>
  <si>
    <t>BLACK PEPPER OIL 10ml</t>
  </si>
  <si>
    <t>CEDARWOOD ATLAS OIL 10ml</t>
  </si>
  <si>
    <t>CHAMOMILE GERMAN BLUE OIL 10ml</t>
  </si>
  <si>
    <t>CHAMOMILE ROMAN OIL 2ml</t>
  </si>
  <si>
    <t>CHAMOMILE ROMAN OIL 10ml</t>
  </si>
  <si>
    <t>CINNAMON BARK OIL 10ml</t>
  </si>
  <si>
    <t>CINNAMON OIL 10ml</t>
  </si>
  <si>
    <t>CITRONELLA OIL 10ml</t>
  </si>
  <si>
    <t>CLARY SAGE OIL 10ml</t>
  </si>
  <si>
    <t>CLOVE BUD OIL 10ml</t>
  </si>
  <si>
    <t>CYPRESS OIL 10ml</t>
  </si>
  <si>
    <t>EUCALYPTUS RADIATA OIL 10ml</t>
  </si>
  <si>
    <t>FENNEL SWEET OIL 10ml</t>
  </si>
  <si>
    <t>FRANKINCENSE OIL 10ml</t>
  </si>
  <si>
    <t>GERANIUM OIL 10ml</t>
  </si>
  <si>
    <t>GINGER OIL 10ml</t>
  </si>
  <si>
    <t>GRAPEFRUIT PINK OIL 10ml</t>
  </si>
  <si>
    <t>IMMORTELLE OIL 2ml</t>
  </si>
  <si>
    <t>IMMORTELLE OIL 10ml</t>
  </si>
  <si>
    <t>JASMINE OIL 2ml</t>
  </si>
  <si>
    <t>JASMINE OIL 10ml</t>
  </si>
  <si>
    <t>JUNIPERBERRY OIL 10ml</t>
  </si>
  <si>
    <t>LAVANDIN OIL 10ml</t>
  </si>
  <si>
    <t>LAVENDER OIL 10ml</t>
  </si>
  <si>
    <t>LAVENDER SPIKE OIL 10ml</t>
  </si>
  <si>
    <t>LEMON MYRTLE OIL 10ml</t>
  </si>
  <si>
    <t>LEMON OIL 10ml</t>
  </si>
  <si>
    <t>LEMON SCENTED TEA TREE OIL 10ml</t>
  </si>
  <si>
    <t>LEMONGRASS OIL 10ml</t>
  </si>
  <si>
    <t>LIME COLD PRESSED OIL 10ml</t>
  </si>
  <si>
    <t>MANDARIN RED OIL 10ml</t>
  </si>
  <si>
    <t>MARJORAM SWEET OIL 10ml</t>
  </si>
  <si>
    <t>MAY CHANG OIL 10ml</t>
  </si>
  <si>
    <t>NEROLI OIL 2ml</t>
  </si>
  <si>
    <t>NEROLI OIL 10ml</t>
  </si>
  <si>
    <t>NIAOULI OIL 10ml</t>
  </si>
  <si>
    <t>NUTMEG OIL 10ml</t>
  </si>
  <si>
    <t>ORANGE SWEET OIL 10ml</t>
  </si>
  <si>
    <t>PALMAROSA OIL 10ml</t>
  </si>
  <si>
    <t>PATCHOULI OIL 10ml</t>
  </si>
  <si>
    <t>PEPPERMINT OIL 10ml</t>
  </si>
  <si>
    <t>PETITGRAIN BIGARADE OIL 10ml</t>
  </si>
  <si>
    <t>PINE SCOTCH OIL 10ml</t>
  </si>
  <si>
    <t>RAVENSARA OIL 10ml</t>
  </si>
  <si>
    <t>ROSALINA OIL 10ml</t>
  </si>
  <si>
    <t>ROSE OTTO OIL 2ml</t>
  </si>
  <si>
    <t>ROSE OTTO OIL 10ml</t>
  </si>
  <si>
    <t>ROSEMARY OIL 10ml</t>
  </si>
  <si>
    <t>SAGE OIL 10ml</t>
  </si>
  <si>
    <t>SANDALWOOD PREMIUM OIL 2ml</t>
  </si>
  <si>
    <t>SANDALWOOD PREMIUM OIL 10ml</t>
  </si>
  <si>
    <t>SPEARMINT OIL 10ml</t>
  </si>
  <si>
    <t>TEA TREE OIL 10ml</t>
  </si>
  <si>
    <t>THYME OIL 10ml</t>
  </si>
  <si>
    <t>VANILLA OLEORESIN 10ml</t>
  </si>
  <si>
    <t>VETIVER OIL 10ml</t>
  </si>
  <si>
    <t>WINTERGREEN OIL 10ml</t>
  </si>
  <si>
    <t>YARROW OIL 2ml</t>
  </si>
  <si>
    <t>YARROW OIL 10ml</t>
  </si>
  <si>
    <t>YLANG YLANG COMPLETE OIL 10ml</t>
  </si>
  <si>
    <t>Discount %</t>
    <phoneticPr fontId="2" type="noConversion"/>
  </si>
  <si>
    <t>SUB-TOTAL
EX-GST</t>
    <phoneticPr fontId="2" type="noConversion"/>
  </si>
  <si>
    <t>SUBTOTAL EX-GST AUD$</t>
    <phoneticPr fontId="2" type="noConversion"/>
  </si>
  <si>
    <r>
      <t xml:space="preserve">FREIGHT </t>
    </r>
    <r>
      <rPr>
        <b/>
        <sz val="9"/>
        <rFont val="Garamond Premr Pro"/>
        <family val="1"/>
      </rPr>
      <t xml:space="preserve">TBC  </t>
    </r>
    <r>
      <rPr>
        <sz val="9"/>
        <rFont val="Garamond Premr Pro"/>
        <family val="1"/>
      </rPr>
      <t>AUD$</t>
    </r>
    <phoneticPr fontId="2" type="noConversion"/>
  </si>
  <si>
    <t>CODE</t>
    <phoneticPr fontId="2" type="noConversion"/>
  </si>
  <si>
    <t>RRP
INC-GST</t>
    <phoneticPr fontId="2" type="noConversion"/>
  </si>
  <si>
    <t>BARCODE</t>
    <phoneticPr fontId="2" type="noConversion"/>
  </si>
  <si>
    <t>PRODUCT</t>
    <phoneticPr fontId="2" type="noConversion"/>
  </si>
  <si>
    <t>SIZE</t>
    <phoneticPr fontId="2" type="noConversion"/>
  </si>
  <si>
    <t>DATE:</t>
  </si>
  <si>
    <t>SHIP TO</t>
  </si>
  <si>
    <t>GST AUD$</t>
    <phoneticPr fontId="2" type="noConversion"/>
  </si>
  <si>
    <t>TOTAL AUD$</t>
    <phoneticPr fontId="2" type="noConversion"/>
  </si>
  <si>
    <t>ORDER FORM</t>
    <phoneticPr fontId="2" type="noConversion"/>
  </si>
  <si>
    <t>P.O. #:</t>
    <phoneticPr fontId="2" type="noConversion"/>
  </si>
  <si>
    <t>HRR00</t>
    <phoneticPr fontId="6" type="noConversion"/>
  </si>
  <si>
    <t>UNIT PRICE
EX-GST</t>
    <phoneticPr fontId="2" type="noConversion"/>
  </si>
  <si>
    <t>LAVENDER SOOTHING HAND &amp; BODY LOTION 30ml</t>
  </si>
  <si>
    <t>ARGAN OIL 30ml</t>
  </si>
  <si>
    <t>ARGAN OIL 100ml</t>
  </si>
  <si>
    <t>ARGAN OIL 10ml</t>
  </si>
  <si>
    <t>3% CHAMOMILE GEMAN BLUE OIL 10ml</t>
  </si>
  <si>
    <t>HRR01</t>
    <phoneticPr fontId="6" type="noConversion"/>
  </si>
  <si>
    <t>ROSE SHAMPOO 250ml</t>
    <phoneticPr fontId="6" type="noConversion"/>
  </si>
  <si>
    <t>HRR02</t>
    <phoneticPr fontId="6" type="noConversion"/>
  </si>
  <si>
    <t>ROSE CONDITIONER 250ml</t>
    <phoneticPr fontId="6" type="noConversion"/>
  </si>
  <si>
    <t>HRR03</t>
    <phoneticPr fontId="6" type="noConversion"/>
  </si>
  <si>
    <t>ROSE BODY WASH 250ml</t>
    <phoneticPr fontId="6" type="noConversion"/>
  </si>
  <si>
    <t>HRR04</t>
    <phoneticPr fontId="6" type="noConversion"/>
  </si>
  <si>
    <t>ROSE BODY LOTION 250ml</t>
    <phoneticPr fontId="6" type="noConversion"/>
  </si>
  <si>
    <t>HBR01</t>
    <phoneticPr fontId="6" type="noConversion"/>
  </si>
  <si>
    <t>ROOT STRENGTH SHAMPOO 250ml</t>
    <phoneticPr fontId="6" type="noConversion"/>
  </si>
  <si>
    <t>HBR02</t>
    <phoneticPr fontId="6" type="noConversion"/>
  </si>
  <si>
    <t>DAMAGE RELIEF SHAMPOO 250ml</t>
    <phoneticPr fontId="6" type="noConversion"/>
  </si>
  <si>
    <t>HBR03</t>
    <phoneticPr fontId="6" type="noConversion"/>
  </si>
  <si>
    <t>HAIR DETOX SHAMPOO 250ml</t>
    <phoneticPr fontId="6" type="noConversion"/>
  </si>
  <si>
    <t>HBR04</t>
    <phoneticPr fontId="6" type="noConversion"/>
  </si>
  <si>
    <t>FLAKE WAIVER SHAMPOO 250ml</t>
    <phoneticPr fontId="6" type="noConversion"/>
  </si>
  <si>
    <t>HBR05</t>
    <phoneticPr fontId="6" type="noConversion"/>
  </si>
  <si>
    <t>SILK MILK CONDITIONER 250ml</t>
    <phoneticPr fontId="6" type="noConversion"/>
  </si>
  <si>
    <t>HOF01</t>
    <phoneticPr fontId="6" type="noConversion"/>
  </si>
  <si>
    <t>ROSE GERANIUM NOURISHING SHAMPOO 500ml</t>
    <phoneticPr fontId="6" type="noConversion"/>
  </si>
  <si>
    <t>HOF02</t>
    <phoneticPr fontId="6" type="noConversion"/>
  </si>
  <si>
    <t>ROSE GERANIUM NOURISHING CONDITIONER 500ml</t>
    <phoneticPr fontId="6" type="noConversion"/>
  </si>
  <si>
    <t>HOF03</t>
    <phoneticPr fontId="6" type="noConversion"/>
  </si>
  <si>
    <t>ROSE GERANIUM NOURISHING HAND &amp; BODY WASH 500ml</t>
    <phoneticPr fontId="6" type="noConversion"/>
  </si>
  <si>
    <t>HOF04</t>
    <phoneticPr fontId="6" type="noConversion"/>
  </si>
  <si>
    <t>ROSE GERANIUM NOURISHING HAND &amp; BODY LOTION 500ml</t>
    <phoneticPr fontId="6" type="noConversion"/>
  </si>
  <si>
    <t>HOF05</t>
    <phoneticPr fontId="6" type="noConversion"/>
  </si>
  <si>
    <t>LAVENDER SOOTHING SHAMPOO 500ml</t>
    <phoneticPr fontId="6" type="noConversion"/>
  </si>
  <si>
    <t>HOF06</t>
    <phoneticPr fontId="6" type="noConversion"/>
  </si>
  <si>
    <t>LAVENDER SOOTHING CONDITIONER 500ml</t>
    <phoneticPr fontId="6" type="noConversion"/>
  </si>
  <si>
    <t>HOF07</t>
    <phoneticPr fontId="6" type="noConversion"/>
  </si>
  <si>
    <t>LAVENDER SOOTHING HAND &amp; BODY WASH 500ml</t>
    <phoneticPr fontId="6" type="noConversion"/>
  </si>
  <si>
    <t>HOF08</t>
    <phoneticPr fontId="6" type="noConversion"/>
  </si>
  <si>
    <t>LAVENDER SOOTHING HAND &amp; BODY LOTION 500ml</t>
    <phoneticPr fontId="6" type="noConversion"/>
  </si>
  <si>
    <t>HOF09</t>
    <phoneticPr fontId="6" type="noConversion"/>
  </si>
  <si>
    <t>LITSEA CUBEBA VOLUMIZING SHAMPOO 500ml</t>
    <phoneticPr fontId="6" type="noConversion"/>
  </si>
  <si>
    <t>HOF10</t>
    <phoneticPr fontId="6" type="noConversion"/>
  </si>
  <si>
    <t>LITSEA CUBEBA VOLUMIZING CONDITIONER 500ml</t>
    <phoneticPr fontId="6" type="noConversion"/>
  </si>
  <si>
    <t>HOF11</t>
    <phoneticPr fontId="6" type="noConversion"/>
  </si>
  <si>
    <t>LEMON MYRTLE PURIFYING SHAMPOO 500ml</t>
    <phoneticPr fontId="6" type="noConversion"/>
  </si>
  <si>
    <t>HOF12</t>
    <phoneticPr fontId="6" type="noConversion"/>
  </si>
  <si>
    <t>LEMON MYRTLE PURIFYING CONDITIONER 500ml</t>
    <phoneticPr fontId="6" type="noConversion"/>
  </si>
  <si>
    <t>HAIR &amp; BODY CARE KITS</t>
    <phoneticPr fontId="6" type="noConversion"/>
  </si>
  <si>
    <t>ROSE HAIR &amp; BODY TRAVEL KIT 4-IN-1 (Rose Shampoo 30ml, Rose Conditioner 30ml, Rose Body Wash 30ml, Rose Body Lotion 30ml)</t>
    <phoneticPr fontId="6" type="noConversion"/>
  </si>
  <si>
    <t>HOF00</t>
    <phoneticPr fontId="6" type="noConversion"/>
  </si>
  <si>
    <t>LAVENDER HAIR &amp; BODY  TRAVEL KIT 4-IN-1 (Lavender Soothing Shampoo 30ml, Lavender Soothing Conditioner 30ml, Lavender Soothing Hand &amp; Body Wash 30ml, Lavender Soothing Hand &amp; Body Lotion 30ml)</t>
    <phoneticPr fontId="6" type="noConversion"/>
  </si>
  <si>
    <t>HFS</t>
    <phoneticPr fontId="6" type="noConversion"/>
  </si>
  <si>
    <t>HAIR &amp; BODY FLOOR STAND (Rose Romance x 4 each, Bio-Active Remedies x 4 each, Organic Family x 3 each) + FREE items</t>
  </si>
  <si>
    <t>72/kit</t>
    <phoneticPr fontId="6" type="noConversion"/>
  </si>
  <si>
    <t>HOFC</t>
    <phoneticPr fontId="6" type="noConversion"/>
  </si>
  <si>
    <t>ORGANIC FAMILY COUNTER STAND (Rose Geranium/Lavender Shampoo &amp; Conditioner x 3 each)</t>
    <phoneticPr fontId="6" type="noConversion"/>
  </si>
  <si>
    <t>12/kit</t>
    <phoneticPr fontId="6" type="noConversion"/>
  </si>
  <si>
    <t>HRRC</t>
    <phoneticPr fontId="6" type="noConversion"/>
  </si>
  <si>
    <t>ROSE ROMANCE COUNTER STAND (5 each) + FREE items</t>
    <phoneticPr fontId="6" type="noConversion"/>
  </si>
  <si>
    <t>20/kit</t>
    <phoneticPr fontId="6" type="noConversion"/>
  </si>
  <si>
    <t>HBRC</t>
    <phoneticPr fontId="6" type="noConversion"/>
  </si>
  <si>
    <t>BIO-ACTIVE REMEDIES COUNTER STAND (4 each) + FREE items</t>
    <phoneticPr fontId="6" type="noConversion"/>
  </si>
  <si>
    <t>PROMOTIONAL MATERIAL</t>
    <phoneticPr fontId="6" type="noConversion"/>
  </si>
  <si>
    <t>P005</t>
    <phoneticPr fontId="6" type="noConversion"/>
  </si>
  <si>
    <t>COUNTER STAND</t>
    <phoneticPr fontId="6" type="noConversion"/>
  </si>
  <si>
    <t>30x25x41cm</t>
    <phoneticPr fontId="6" type="noConversion"/>
  </si>
  <si>
    <t>P002</t>
    <phoneticPr fontId="6" type="noConversion"/>
  </si>
  <si>
    <t>POSTER A2 - I AM ORGANIC FAMILY</t>
    <phoneticPr fontId="6" type="noConversion"/>
  </si>
  <si>
    <t>P003</t>
    <phoneticPr fontId="6" type="noConversion"/>
  </si>
  <si>
    <t>POSTER A4 - LOOKING FOR CERTIFICATE</t>
    <phoneticPr fontId="6" type="noConversion"/>
  </si>
  <si>
    <t>P004</t>
    <phoneticPr fontId="6" type="noConversion"/>
  </si>
  <si>
    <t>HAIR &amp; BODY CARE BROCHURES</t>
    <phoneticPr fontId="6" type="noConversion"/>
  </si>
  <si>
    <t>4 Fold</t>
    <phoneticPr fontId="20" type="noConversion"/>
  </si>
  <si>
    <t>HAIR &amp; BODY CARE TRAVEL &amp; SAMPLE SIZE 30ML</t>
    <phoneticPr fontId="6" type="noConversion"/>
  </si>
  <si>
    <t>HRR05</t>
    <phoneticPr fontId="6" type="noConversion"/>
  </si>
  <si>
    <t>ROSE SHAMPOO 30ml</t>
    <phoneticPr fontId="6" type="noConversion"/>
  </si>
  <si>
    <t>HRR06</t>
    <phoneticPr fontId="6" type="noConversion"/>
  </si>
  <si>
    <t>ROSE CONDITIONER 30ml</t>
    <phoneticPr fontId="6" type="noConversion"/>
  </si>
  <si>
    <t>HRR07</t>
    <phoneticPr fontId="6" type="noConversion"/>
  </si>
  <si>
    <t>ROSE BODY WASH 30ml</t>
    <phoneticPr fontId="6" type="noConversion"/>
  </si>
  <si>
    <t>HRR08</t>
    <phoneticPr fontId="6" type="noConversion"/>
  </si>
  <si>
    <t>ROSE BODY LOTION 30ml</t>
    <phoneticPr fontId="6" type="noConversion"/>
  </si>
  <si>
    <t>HBR08</t>
    <phoneticPr fontId="6" type="noConversion"/>
  </si>
  <si>
    <t>HAIR DETOX SHAMPOO 30ml</t>
    <phoneticPr fontId="6" type="noConversion"/>
  </si>
  <si>
    <t>HBR10</t>
    <phoneticPr fontId="6" type="noConversion"/>
  </si>
  <si>
    <t>SILK MILK CONDITIONER 30ml</t>
    <phoneticPr fontId="6" type="noConversion"/>
  </si>
  <si>
    <t>HOF16</t>
    <phoneticPr fontId="6" type="noConversion"/>
  </si>
  <si>
    <t>ROSE GERANIUM NOURISHING HAND &amp; BODY LOTION 30ml</t>
    <phoneticPr fontId="6" type="noConversion"/>
  </si>
  <si>
    <t>HOF17</t>
    <phoneticPr fontId="6" type="noConversion"/>
  </si>
  <si>
    <t>LAVENDER SOOTHING SHAMPOO 30ml</t>
    <phoneticPr fontId="6" type="noConversion"/>
  </si>
  <si>
    <t>HOF18</t>
    <phoneticPr fontId="6" type="noConversion"/>
  </si>
  <si>
    <t>LAVENDER SOOTHING CONDITIONER 30ml</t>
    <phoneticPr fontId="6" type="noConversion"/>
  </si>
  <si>
    <t>HOF19</t>
    <phoneticPr fontId="6" type="noConversion"/>
  </si>
  <si>
    <t>LAVENDER SOOTHING HAND &amp; BODY WASH 30ml</t>
    <phoneticPr fontId="6" type="noConversion"/>
  </si>
  <si>
    <t>HOF20</t>
    <phoneticPr fontId="6" type="noConversion"/>
  </si>
  <si>
    <t>SRS01</t>
    <phoneticPr fontId="6" type="noConversion"/>
  </si>
  <si>
    <t>ROSE FOAMING CLEANSER 200ml</t>
    <phoneticPr fontId="6" type="noConversion"/>
  </si>
  <si>
    <t>SRS02</t>
    <phoneticPr fontId="6" type="noConversion"/>
  </si>
  <si>
    <t>ROSE CLEANSING OIL 120ml</t>
    <phoneticPr fontId="6" type="noConversion"/>
  </si>
  <si>
    <t>SRS03</t>
    <phoneticPr fontId="6" type="noConversion"/>
  </si>
  <si>
    <t>ROSE HYDRATING MIST 100ml</t>
    <phoneticPr fontId="6" type="noConversion"/>
  </si>
  <si>
    <t>SRS04</t>
    <phoneticPr fontId="6" type="noConversion"/>
  </si>
  <si>
    <t>ROSE TONER 100ml</t>
    <phoneticPr fontId="6" type="noConversion"/>
  </si>
  <si>
    <t>SRS05</t>
    <phoneticPr fontId="6" type="noConversion"/>
  </si>
  <si>
    <t>ROSE FACIAL SERUM 30ml</t>
    <phoneticPr fontId="6" type="noConversion"/>
  </si>
  <si>
    <t>SRS06</t>
    <phoneticPr fontId="6" type="noConversion"/>
  </si>
  <si>
    <t>ROSE ELIXIR 100ml</t>
    <phoneticPr fontId="6" type="noConversion"/>
  </si>
  <si>
    <t>SRS07</t>
    <phoneticPr fontId="6" type="noConversion"/>
  </si>
  <si>
    <t>ROSE EMULSION 80ml</t>
    <phoneticPr fontId="6" type="noConversion"/>
  </si>
  <si>
    <t>SRS08</t>
    <phoneticPr fontId="6" type="noConversion"/>
  </si>
  <si>
    <t>ROSE FACIAL CREAM 40g</t>
    <phoneticPr fontId="6" type="noConversion"/>
  </si>
  <si>
    <t>SRS09</t>
    <phoneticPr fontId="6" type="noConversion"/>
  </si>
  <si>
    <t>ROSE HIP OIL 30ml</t>
    <phoneticPr fontId="6" type="noConversion"/>
  </si>
  <si>
    <t>SRS10</t>
    <phoneticPr fontId="6" type="noConversion"/>
  </si>
  <si>
    <t>ROSE EYE SERUM 30ml</t>
    <phoneticPr fontId="6" type="noConversion"/>
  </si>
  <si>
    <t>SRS11</t>
    <phoneticPr fontId="6" type="noConversion"/>
  </si>
  <si>
    <t>ROSE EYE CREAM 15g</t>
    <phoneticPr fontId="6" type="noConversion"/>
  </si>
  <si>
    <t>SRS12</t>
    <phoneticPr fontId="6" type="noConversion"/>
  </si>
  <si>
    <t>ROSE HIP BALM 15g</t>
    <phoneticPr fontId="6" type="noConversion"/>
  </si>
  <si>
    <t>SRS13</t>
    <phoneticPr fontId="6" type="noConversion"/>
  </si>
  <si>
    <t>ROSE HAND CREAM 100g</t>
    <phoneticPr fontId="6" type="noConversion"/>
  </si>
  <si>
    <t>SRS14</t>
    <phoneticPr fontId="6" type="noConversion"/>
  </si>
  <si>
    <t>ROSE HAND CREAM 40g</t>
    <phoneticPr fontId="6" type="noConversion"/>
  </si>
  <si>
    <t>SRS15</t>
    <phoneticPr fontId="6" type="noConversion"/>
  </si>
  <si>
    <t>ROSE ELIXIR SACHET 3ml</t>
    <phoneticPr fontId="6" type="noConversion"/>
  </si>
  <si>
    <t>SRS00</t>
    <phoneticPr fontId="6" type="noConversion"/>
  </si>
  <si>
    <t>ROSE FACIAL CARE PACK 3-IN-1 
(Rose Eye Serum 5ml, Rose Facial Cream 5g, Rose Emulsion 5ml)</t>
    <phoneticPr fontId="6" type="noConversion"/>
  </si>
  <si>
    <t>5ml/g x 3</t>
    <phoneticPr fontId="6" type="noConversion"/>
  </si>
  <si>
    <t>SRS16</t>
    <phoneticPr fontId="6" type="noConversion"/>
  </si>
  <si>
    <t>ROSE EYE SERUM 5ml</t>
    <phoneticPr fontId="6" type="noConversion"/>
  </si>
  <si>
    <t>SRS17</t>
    <phoneticPr fontId="6" type="noConversion"/>
  </si>
  <si>
    <t>ROSE FACIAL CREAM 5g</t>
    <phoneticPr fontId="6" type="noConversion"/>
  </si>
  <si>
    <t>SRS18</t>
    <phoneticPr fontId="6" type="noConversion"/>
  </si>
  <si>
    <t>ROSE EMULSION 5ml</t>
    <phoneticPr fontId="6" type="noConversion"/>
  </si>
  <si>
    <t>SCENTHERAPY</t>
    <phoneticPr fontId="6" type="noConversion"/>
  </si>
  <si>
    <t>PST01</t>
    <phoneticPr fontId="6" type="noConversion"/>
  </si>
  <si>
    <t>ROSE SCENTHERAPY 50ml</t>
    <phoneticPr fontId="6" type="noConversion"/>
  </si>
  <si>
    <t>PST02</t>
    <phoneticPr fontId="6" type="noConversion"/>
  </si>
  <si>
    <t>JASMINE SCENTHERAPY 50ml</t>
    <phoneticPr fontId="6" type="noConversion"/>
  </si>
  <si>
    <t>PST03</t>
    <phoneticPr fontId="6" type="noConversion"/>
  </si>
  <si>
    <t>FLORA SCENTHERAPY 50ml</t>
    <phoneticPr fontId="6" type="noConversion"/>
  </si>
  <si>
    <t>PST04</t>
    <phoneticPr fontId="6" type="noConversion"/>
  </si>
  <si>
    <t>BOTANICA SCENTHERAPY 50ml</t>
    <phoneticPr fontId="6" type="noConversion"/>
  </si>
  <si>
    <t>PST05</t>
    <phoneticPr fontId="6" type="noConversion"/>
  </si>
  <si>
    <t>ROSE SCENTHERAPY 4ml</t>
    <phoneticPr fontId="6" type="noConversion"/>
  </si>
  <si>
    <t>PST06</t>
    <phoneticPr fontId="6" type="noConversion"/>
  </si>
  <si>
    <t>FLORA SCENTHERAPY 4ml</t>
    <phoneticPr fontId="6" type="noConversion"/>
  </si>
  <si>
    <r>
      <t xml:space="preserve">100% CERTIFIED ORGANIC PURE ESSENTIAL OIL </t>
    </r>
    <r>
      <rPr>
        <i/>
        <sz val="9"/>
        <rFont val="Arial"/>
        <family val="2"/>
      </rPr>
      <t>(Certified Organic by ACO)</t>
    </r>
  </si>
  <si>
    <t>AEO001</t>
    <phoneticPr fontId="6" type="noConversion"/>
  </si>
  <si>
    <t>AEO002</t>
    <phoneticPr fontId="6" type="noConversion"/>
  </si>
  <si>
    <t>AEO003</t>
    <phoneticPr fontId="6" type="noConversion"/>
  </si>
  <si>
    <t>AEO004</t>
    <phoneticPr fontId="6" type="noConversion"/>
  </si>
  <si>
    <t>AEO005</t>
    <phoneticPr fontId="6" type="noConversion"/>
  </si>
  <si>
    <t>AEO006</t>
    <phoneticPr fontId="6" type="noConversion"/>
  </si>
  <si>
    <t>AEO007</t>
    <phoneticPr fontId="6" type="noConversion"/>
  </si>
  <si>
    <t>AEO008</t>
    <phoneticPr fontId="6" type="noConversion"/>
  </si>
  <si>
    <t>AEO009</t>
    <phoneticPr fontId="6" type="noConversion"/>
  </si>
  <si>
    <t>AEO010</t>
    <phoneticPr fontId="6" type="noConversion"/>
  </si>
  <si>
    <t>AEO011</t>
    <phoneticPr fontId="6" type="noConversion"/>
  </si>
  <si>
    <t>AEO012</t>
    <phoneticPr fontId="6" type="noConversion"/>
  </si>
  <si>
    <t>AEO013</t>
    <phoneticPr fontId="6" type="noConversion"/>
  </si>
  <si>
    <t>AEO014</t>
    <phoneticPr fontId="6" type="noConversion"/>
  </si>
  <si>
    <t>AEO015</t>
    <phoneticPr fontId="6" type="noConversion"/>
  </si>
  <si>
    <t>AEO016</t>
    <phoneticPr fontId="6" type="noConversion"/>
  </si>
  <si>
    <t>AEO017</t>
    <phoneticPr fontId="6" type="noConversion"/>
  </si>
  <si>
    <t>AEO018</t>
    <phoneticPr fontId="6" type="noConversion"/>
  </si>
  <si>
    <t>AEO019</t>
    <phoneticPr fontId="6" type="noConversion"/>
  </si>
  <si>
    <t>AEO020</t>
    <phoneticPr fontId="6" type="noConversion"/>
  </si>
  <si>
    <t>AEO021</t>
    <phoneticPr fontId="6" type="noConversion"/>
  </si>
  <si>
    <t>AEO022</t>
    <phoneticPr fontId="6" type="noConversion"/>
  </si>
  <si>
    <t>AEO023</t>
    <phoneticPr fontId="6" type="noConversion"/>
  </si>
  <si>
    <t>AEO024</t>
    <phoneticPr fontId="6" type="noConversion"/>
  </si>
  <si>
    <t>AEO025</t>
    <phoneticPr fontId="6" type="noConversion"/>
  </si>
  <si>
    <t>AEO026</t>
    <phoneticPr fontId="6" type="noConversion"/>
  </si>
  <si>
    <t>AEO027</t>
    <phoneticPr fontId="6" type="noConversion"/>
  </si>
  <si>
    <t>AEO028</t>
    <phoneticPr fontId="6" type="noConversion"/>
  </si>
  <si>
    <t>AEO029</t>
    <phoneticPr fontId="6" type="noConversion"/>
  </si>
  <si>
    <t>AEO030</t>
    <phoneticPr fontId="6" type="noConversion"/>
  </si>
  <si>
    <t>AEO031</t>
    <phoneticPr fontId="6" type="noConversion"/>
  </si>
  <si>
    <t>AEO032</t>
    <phoneticPr fontId="6" type="noConversion"/>
  </si>
  <si>
    <t>AEO033</t>
    <phoneticPr fontId="6" type="noConversion"/>
  </si>
  <si>
    <t>AEO034</t>
    <phoneticPr fontId="6" type="noConversion"/>
  </si>
  <si>
    <t>AEO035</t>
    <phoneticPr fontId="6" type="noConversion"/>
  </si>
  <si>
    <t>AEO036</t>
    <phoneticPr fontId="6" type="noConversion"/>
  </si>
  <si>
    <t>AEO037</t>
    <phoneticPr fontId="6" type="noConversion"/>
  </si>
  <si>
    <t>AEO038</t>
    <phoneticPr fontId="6" type="noConversion"/>
  </si>
  <si>
    <t>EUCALYPTUS RADIATA OIL 5ml</t>
    <phoneticPr fontId="6" type="noConversion"/>
  </si>
  <si>
    <t>AEO039</t>
    <phoneticPr fontId="6" type="noConversion"/>
  </si>
  <si>
    <t>AEO040</t>
    <phoneticPr fontId="6" type="noConversion"/>
  </si>
  <si>
    <t>AEO041</t>
    <phoneticPr fontId="6" type="noConversion"/>
  </si>
  <si>
    <t>AEO042</t>
    <phoneticPr fontId="6" type="noConversion"/>
  </si>
  <si>
    <t>AEO043</t>
    <phoneticPr fontId="6" type="noConversion"/>
  </si>
  <si>
    <t>FENNEL SWEET OIL 30ml</t>
    <phoneticPr fontId="6" type="noConversion"/>
  </si>
  <si>
    <t>AEO044</t>
    <phoneticPr fontId="6" type="noConversion"/>
  </si>
  <si>
    <t>AEO045</t>
    <phoneticPr fontId="6" type="noConversion"/>
  </si>
  <si>
    <t>AEO046</t>
    <phoneticPr fontId="6" type="noConversion"/>
  </si>
  <si>
    <t>AEO047</t>
    <phoneticPr fontId="6" type="noConversion"/>
  </si>
  <si>
    <t>AEO048</t>
    <phoneticPr fontId="6" type="noConversion"/>
  </si>
  <si>
    <t>AEO049</t>
    <phoneticPr fontId="6" type="noConversion"/>
  </si>
  <si>
    <t>AEO050</t>
    <phoneticPr fontId="6" type="noConversion"/>
  </si>
  <si>
    <t>GINGER OIL 5ml</t>
    <phoneticPr fontId="6" type="noConversion"/>
  </si>
  <si>
    <t>AEO051</t>
    <phoneticPr fontId="6" type="noConversion"/>
  </si>
  <si>
    <t>AEO052</t>
    <phoneticPr fontId="6" type="noConversion"/>
  </si>
  <si>
    <t>AEO053</t>
    <phoneticPr fontId="6" type="noConversion"/>
  </si>
  <si>
    <t>AEO054</t>
    <phoneticPr fontId="6" type="noConversion"/>
  </si>
  <si>
    <t>AEO055</t>
    <phoneticPr fontId="6" type="noConversion"/>
  </si>
  <si>
    <t>AEO056</t>
    <phoneticPr fontId="6" type="noConversion"/>
  </si>
  <si>
    <t>AEO057</t>
    <phoneticPr fontId="6" type="noConversion"/>
  </si>
  <si>
    <t>AEO058</t>
    <phoneticPr fontId="6" type="noConversion"/>
  </si>
  <si>
    <t>AEO059</t>
    <phoneticPr fontId="6" type="noConversion"/>
  </si>
  <si>
    <t>AEO060</t>
    <phoneticPr fontId="6" type="noConversion"/>
  </si>
  <si>
    <t>AEO061</t>
    <phoneticPr fontId="6" type="noConversion"/>
  </si>
  <si>
    <t>AEO062</t>
    <phoneticPr fontId="6" type="noConversion"/>
  </si>
  <si>
    <t>AEO063</t>
    <phoneticPr fontId="6" type="noConversion"/>
  </si>
  <si>
    <t>AEO064</t>
    <phoneticPr fontId="6" type="noConversion"/>
  </si>
  <si>
    <t>JUNIPERBERRY OIL 5ml</t>
    <phoneticPr fontId="6" type="noConversion"/>
  </si>
  <si>
    <t>AEO065</t>
    <phoneticPr fontId="6" type="noConversion"/>
  </si>
  <si>
    <t>AEO066</t>
    <phoneticPr fontId="6" type="noConversion"/>
  </si>
  <si>
    <t>AEO067</t>
    <phoneticPr fontId="6" type="noConversion"/>
  </si>
  <si>
    <t>AEO068</t>
    <phoneticPr fontId="6" type="noConversion"/>
  </si>
  <si>
    <t>AEO069</t>
    <phoneticPr fontId="6" type="noConversion"/>
  </si>
  <si>
    <t>AEO070</t>
    <phoneticPr fontId="6" type="noConversion"/>
  </si>
  <si>
    <t>AEO071</t>
    <phoneticPr fontId="6" type="noConversion"/>
  </si>
  <si>
    <t>AEO072</t>
    <phoneticPr fontId="6" type="noConversion"/>
  </si>
  <si>
    <t>AEO073</t>
    <phoneticPr fontId="6" type="noConversion"/>
  </si>
  <si>
    <t>AEO074</t>
    <phoneticPr fontId="6" type="noConversion"/>
  </si>
  <si>
    <t>AEO075</t>
    <phoneticPr fontId="6" type="noConversion"/>
  </si>
  <si>
    <t>AEO076</t>
    <phoneticPr fontId="6" type="noConversion"/>
  </si>
  <si>
    <t>AEO077</t>
    <phoneticPr fontId="6" type="noConversion"/>
  </si>
  <si>
    <t>AEO078</t>
    <phoneticPr fontId="6" type="noConversion"/>
  </si>
  <si>
    <t>AEO079</t>
    <phoneticPr fontId="6" type="noConversion"/>
  </si>
  <si>
    <t>AEO080</t>
    <phoneticPr fontId="6" type="noConversion"/>
  </si>
  <si>
    <t>AEO081</t>
    <phoneticPr fontId="6" type="noConversion"/>
  </si>
  <si>
    <t>AEO082</t>
    <phoneticPr fontId="6" type="noConversion"/>
  </si>
  <si>
    <t>AEO083</t>
    <phoneticPr fontId="6" type="noConversion"/>
  </si>
  <si>
    <t>AEO084</t>
    <phoneticPr fontId="6" type="noConversion"/>
  </si>
  <si>
    <t>AEO085</t>
    <phoneticPr fontId="6" type="noConversion"/>
  </si>
  <si>
    <t>AEO086</t>
    <phoneticPr fontId="6" type="noConversion"/>
  </si>
  <si>
    <t>AEO087</t>
    <phoneticPr fontId="6" type="noConversion"/>
  </si>
  <si>
    <t>AEO088</t>
    <phoneticPr fontId="6" type="noConversion"/>
  </si>
  <si>
    <t>AEO089</t>
    <phoneticPr fontId="6" type="noConversion"/>
  </si>
  <si>
    <t>AEO090</t>
    <phoneticPr fontId="6" type="noConversion"/>
  </si>
  <si>
    <t>AEO091</t>
    <phoneticPr fontId="6" type="noConversion"/>
  </si>
  <si>
    <t>AEO092</t>
    <phoneticPr fontId="6" type="noConversion"/>
  </si>
  <si>
    <t>AEO093</t>
    <phoneticPr fontId="6" type="noConversion"/>
  </si>
  <si>
    <t>AEO094</t>
    <phoneticPr fontId="6" type="noConversion"/>
  </si>
  <si>
    <t>AEO095</t>
    <phoneticPr fontId="6" type="noConversion"/>
  </si>
  <si>
    <t>AEO096</t>
    <phoneticPr fontId="6" type="noConversion"/>
  </si>
  <si>
    <t>AEO097</t>
    <phoneticPr fontId="6" type="noConversion"/>
  </si>
  <si>
    <t>AEO098</t>
    <phoneticPr fontId="6" type="noConversion"/>
  </si>
  <si>
    <t>AEO099</t>
    <phoneticPr fontId="6" type="noConversion"/>
  </si>
  <si>
    <t>AEO100</t>
    <phoneticPr fontId="6" type="noConversion"/>
  </si>
  <si>
    <t>AEO101</t>
    <phoneticPr fontId="6" type="noConversion"/>
  </si>
  <si>
    <t>NEROLI OIL 5ml</t>
    <phoneticPr fontId="6" type="noConversion"/>
  </si>
  <si>
    <t>AEO102</t>
    <phoneticPr fontId="6" type="noConversion"/>
  </si>
  <si>
    <t>AEO103</t>
    <phoneticPr fontId="6" type="noConversion"/>
  </si>
  <si>
    <t>NEROLI OIL 30ml</t>
    <phoneticPr fontId="6" type="noConversion"/>
  </si>
  <si>
    <t>AEO104</t>
    <phoneticPr fontId="6" type="noConversion"/>
  </si>
  <si>
    <t>AEO105</t>
    <phoneticPr fontId="6" type="noConversion"/>
  </si>
  <si>
    <t>AEO106</t>
    <phoneticPr fontId="6" type="noConversion"/>
  </si>
  <si>
    <t>AEO107</t>
    <phoneticPr fontId="6" type="noConversion"/>
  </si>
  <si>
    <t>AEO108</t>
    <phoneticPr fontId="6" type="noConversion"/>
  </si>
  <si>
    <t>AEO109</t>
    <phoneticPr fontId="6" type="noConversion"/>
  </si>
  <si>
    <t>AEO110</t>
    <phoneticPr fontId="6" type="noConversion"/>
  </si>
  <si>
    <t>AEO111</t>
    <phoneticPr fontId="6" type="noConversion"/>
  </si>
  <si>
    <t>AEO112</t>
    <phoneticPr fontId="6" type="noConversion"/>
  </si>
  <si>
    <t>AEO113</t>
    <phoneticPr fontId="6" type="noConversion"/>
  </si>
  <si>
    <t>AEO114</t>
    <phoneticPr fontId="6" type="noConversion"/>
  </si>
  <si>
    <t>AEO115</t>
    <phoneticPr fontId="6" type="noConversion"/>
  </si>
  <si>
    <t>AEO116</t>
    <phoneticPr fontId="6" type="noConversion"/>
  </si>
  <si>
    <t>AEO117</t>
    <phoneticPr fontId="6" type="noConversion"/>
  </si>
  <si>
    <t>AEO118</t>
    <phoneticPr fontId="6" type="noConversion"/>
  </si>
  <si>
    <t>AEO119</t>
    <phoneticPr fontId="6" type="noConversion"/>
  </si>
  <si>
    <t>AEO120</t>
    <phoneticPr fontId="6" type="noConversion"/>
  </si>
  <si>
    <t>AEO121</t>
    <phoneticPr fontId="6" type="noConversion"/>
  </si>
  <si>
    <t>AEO122</t>
    <phoneticPr fontId="6" type="noConversion"/>
  </si>
  <si>
    <t>PETITGRAIN BIGARADE OIL 5ml</t>
    <phoneticPr fontId="6" type="noConversion"/>
  </si>
  <si>
    <t>AEO123</t>
    <phoneticPr fontId="6" type="noConversion"/>
  </si>
  <si>
    <t>AEO124</t>
    <phoneticPr fontId="6" type="noConversion"/>
  </si>
  <si>
    <t>AEO125</t>
    <phoneticPr fontId="6" type="noConversion"/>
  </si>
  <si>
    <t>AEO126</t>
    <phoneticPr fontId="6" type="noConversion"/>
  </si>
  <si>
    <t>AEO127</t>
    <phoneticPr fontId="6" type="noConversion"/>
  </si>
  <si>
    <t>AEO128</t>
    <phoneticPr fontId="6" type="noConversion"/>
  </si>
  <si>
    <t>RAVENSARA OIL 5ml</t>
    <phoneticPr fontId="6" type="noConversion"/>
  </si>
  <si>
    <t>AEO129</t>
    <phoneticPr fontId="6" type="noConversion"/>
  </si>
  <si>
    <t>AEO130</t>
    <phoneticPr fontId="6" type="noConversion"/>
  </si>
  <si>
    <t>RAVENSARA OIL 30ml</t>
    <phoneticPr fontId="6" type="noConversion"/>
  </si>
  <si>
    <t>AEO131</t>
    <phoneticPr fontId="6" type="noConversion"/>
  </si>
  <si>
    <t>AEO132</t>
    <phoneticPr fontId="6" type="noConversion"/>
  </si>
  <si>
    <t>AEO133</t>
    <phoneticPr fontId="6" type="noConversion"/>
  </si>
  <si>
    <t>AEO134</t>
    <phoneticPr fontId="6" type="noConversion"/>
  </si>
  <si>
    <t>AEO135</t>
    <phoneticPr fontId="6" type="noConversion"/>
  </si>
  <si>
    <t>AEO136</t>
    <phoneticPr fontId="6" type="noConversion"/>
  </si>
  <si>
    <t>AEO137</t>
    <phoneticPr fontId="6" type="noConversion"/>
  </si>
  <si>
    <t>AEO138</t>
    <phoneticPr fontId="6" type="noConversion"/>
  </si>
  <si>
    <t>AEO139</t>
    <phoneticPr fontId="6" type="noConversion"/>
  </si>
  <si>
    <t>AEO140</t>
    <phoneticPr fontId="6" type="noConversion"/>
  </si>
  <si>
    <t>AEO141</t>
    <phoneticPr fontId="6" type="noConversion"/>
  </si>
  <si>
    <t>AEO142</t>
    <phoneticPr fontId="6" type="noConversion"/>
  </si>
  <si>
    <t>AEO143</t>
    <phoneticPr fontId="6" type="noConversion"/>
  </si>
  <si>
    <t>AEO144</t>
    <phoneticPr fontId="6" type="noConversion"/>
  </si>
  <si>
    <t>AEO145</t>
    <phoneticPr fontId="6" type="noConversion"/>
  </si>
  <si>
    <t>AEO146</t>
    <phoneticPr fontId="6" type="noConversion"/>
  </si>
  <si>
    <t>AEO147</t>
    <phoneticPr fontId="6" type="noConversion"/>
  </si>
  <si>
    <t>AEO151</t>
    <phoneticPr fontId="6" type="noConversion"/>
  </si>
  <si>
    <t>AEO152</t>
    <phoneticPr fontId="6" type="noConversion"/>
  </si>
  <si>
    <t>AEO153</t>
    <phoneticPr fontId="6" type="noConversion"/>
  </si>
  <si>
    <t>AEO154</t>
    <phoneticPr fontId="6" type="noConversion"/>
  </si>
  <si>
    <t>AEO155</t>
    <phoneticPr fontId="6" type="noConversion"/>
  </si>
  <si>
    <t>AEO156</t>
    <phoneticPr fontId="6" type="noConversion"/>
  </si>
  <si>
    <t>AEO157</t>
    <phoneticPr fontId="6" type="noConversion"/>
  </si>
  <si>
    <t>THYME OIL 5ml</t>
    <phoneticPr fontId="6" type="noConversion"/>
  </si>
  <si>
    <t>AEO158</t>
    <phoneticPr fontId="6" type="noConversion"/>
  </si>
  <si>
    <t>AEO159</t>
    <phoneticPr fontId="6" type="noConversion"/>
  </si>
  <si>
    <t>AEO160</t>
    <phoneticPr fontId="6" type="noConversion"/>
  </si>
  <si>
    <t>AEO161</t>
    <phoneticPr fontId="6" type="noConversion"/>
  </si>
  <si>
    <t>AEO162</t>
    <phoneticPr fontId="6" type="noConversion"/>
  </si>
  <si>
    <t>AEO163</t>
    <phoneticPr fontId="6" type="noConversion"/>
  </si>
  <si>
    <t>VETIVER OIL 5ml</t>
    <phoneticPr fontId="6" type="noConversion"/>
  </si>
  <si>
    <t>AEO164</t>
    <phoneticPr fontId="6" type="noConversion"/>
  </si>
  <si>
    <t>AEO165</t>
    <phoneticPr fontId="6" type="noConversion"/>
  </si>
  <si>
    <t>AEO166</t>
    <phoneticPr fontId="6" type="noConversion"/>
  </si>
  <si>
    <t>AEO167</t>
    <phoneticPr fontId="6" type="noConversion"/>
  </si>
  <si>
    <t>AEO168</t>
    <phoneticPr fontId="6" type="noConversion"/>
  </si>
  <si>
    <t>WINTERGREEN OIL 30ml</t>
    <phoneticPr fontId="6" type="noConversion"/>
  </si>
  <si>
    <t>AEO169</t>
    <phoneticPr fontId="6" type="noConversion"/>
  </si>
  <si>
    <t>AEO170</t>
    <phoneticPr fontId="6" type="noConversion"/>
  </si>
  <si>
    <t>AEO171</t>
    <phoneticPr fontId="6" type="noConversion"/>
  </si>
  <si>
    <t>AEO172</t>
    <phoneticPr fontId="6" type="noConversion"/>
  </si>
  <si>
    <t>AEO173</t>
    <phoneticPr fontId="6" type="noConversion"/>
  </si>
  <si>
    <t>YLANG YLANG COMPLETE OIL 5ml</t>
    <phoneticPr fontId="6" type="noConversion"/>
  </si>
  <si>
    <t>AEO174</t>
    <phoneticPr fontId="6" type="noConversion"/>
  </si>
  <si>
    <t>AEO175</t>
    <phoneticPr fontId="6" type="noConversion"/>
  </si>
  <si>
    <r>
      <t xml:space="preserve">100% CERTIFIED ORGANIC PURE CARRIER OIL </t>
    </r>
    <r>
      <rPr>
        <i/>
        <sz val="9"/>
        <rFont val="Arial"/>
        <family val="2"/>
      </rPr>
      <t>(Certified Organic by ACO)</t>
    </r>
  </si>
  <si>
    <t>ACO01</t>
    <phoneticPr fontId="6" type="noConversion"/>
  </si>
  <si>
    <t>ALMOND SWEET OIL 10ml</t>
    <phoneticPr fontId="6" type="noConversion"/>
  </si>
  <si>
    <t>ACO02</t>
    <phoneticPr fontId="6" type="noConversion"/>
  </si>
  <si>
    <t>ALMOND SWEET OIL 30ml</t>
    <phoneticPr fontId="6" type="noConversion"/>
  </si>
  <si>
    <t>ACO03</t>
    <phoneticPr fontId="6" type="noConversion"/>
  </si>
  <si>
    <t>ALMOND SWEET OIL 100ml</t>
    <phoneticPr fontId="6" type="noConversion"/>
  </si>
  <si>
    <t>ACO04</t>
    <phoneticPr fontId="6" type="noConversion"/>
  </si>
  <si>
    <t>ACO05</t>
    <phoneticPr fontId="6" type="noConversion"/>
  </si>
  <si>
    <t>ACO06</t>
    <phoneticPr fontId="6" type="noConversion"/>
  </si>
  <si>
    <t>ACO07</t>
    <phoneticPr fontId="6" type="noConversion"/>
  </si>
  <si>
    <t>COCONUT OIL 100ml</t>
    <phoneticPr fontId="6" type="noConversion"/>
  </si>
  <si>
    <t>ACO08</t>
    <phoneticPr fontId="6" type="noConversion"/>
  </si>
  <si>
    <t>JOJOBA OIL 10ml</t>
    <phoneticPr fontId="6" type="noConversion"/>
  </si>
  <si>
    <t>ACO09</t>
    <phoneticPr fontId="6" type="noConversion"/>
  </si>
  <si>
    <t>JOJOBA OIL 30ml</t>
    <phoneticPr fontId="6" type="noConversion"/>
  </si>
  <si>
    <t>ACO10</t>
    <phoneticPr fontId="6" type="noConversion"/>
  </si>
  <si>
    <t>JOJOBA OIL 100ml</t>
    <phoneticPr fontId="6" type="noConversion"/>
  </si>
  <si>
    <t>ACO11</t>
    <phoneticPr fontId="6" type="noConversion"/>
  </si>
  <si>
    <t>ROSE HIP OIL 10ml</t>
    <phoneticPr fontId="6" type="noConversion"/>
  </si>
  <si>
    <t>ACO12</t>
    <phoneticPr fontId="6" type="noConversion"/>
  </si>
  <si>
    <t>ACO13</t>
    <phoneticPr fontId="6" type="noConversion"/>
  </si>
  <si>
    <t>ROSE HIP OIL 100ml</t>
    <phoneticPr fontId="6" type="noConversion"/>
  </si>
  <si>
    <r>
      <t xml:space="preserve">100% CERTIFIED ORGANIC - 3% ESSENTIAL OIL IN JOJOBA OIL </t>
    </r>
    <r>
      <rPr>
        <i/>
        <sz val="9"/>
        <rFont val="Arial"/>
        <family val="2"/>
      </rPr>
      <t>(Certified Organic by ACO)</t>
    </r>
  </si>
  <si>
    <t>AE301</t>
    <phoneticPr fontId="6" type="noConversion"/>
  </si>
  <si>
    <t>AE302</t>
    <phoneticPr fontId="6" type="noConversion"/>
  </si>
  <si>
    <t>3% IMMORTELLE OIL 10ml</t>
    <phoneticPr fontId="6" type="noConversion"/>
  </si>
  <si>
    <t>AE303</t>
    <phoneticPr fontId="6" type="noConversion"/>
  </si>
  <si>
    <t>3% JASMINE OIL 10ml</t>
    <phoneticPr fontId="6" type="noConversion"/>
  </si>
  <si>
    <t>AE304</t>
    <phoneticPr fontId="6" type="noConversion"/>
  </si>
  <si>
    <t>3% NEROLI OIL 10ml</t>
    <phoneticPr fontId="6" type="noConversion"/>
  </si>
  <si>
    <t>AE305</t>
    <phoneticPr fontId="6" type="noConversion"/>
  </si>
  <si>
    <t>3% ROSE OTTO OIL 10ml</t>
    <phoneticPr fontId="6" type="noConversion"/>
  </si>
  <si>
    <r>
      <t xml:space="preserve">100% CERTIFIED ORGANIC HYDROSOL </t>
    </r>
    <r>
      <rPr>
        <i/>
        <sz val="9"/>
        <rFont val="Arial"/>
        <family val="2"/>
      </rPr>
      <t>(Certified Organic by ACO)</t>
    </r>
  </si>
  <si>
    <t>AHD03</t>
    <phoneticPr fontId="6" type="noConversion"/>
  </si>
  <si>
    <t>LAVENDER HYDROSOL 125ml</t>
    <phoneticPr fontId="6" type="noConversion"/>
  </si>
  <si>
    <t>AHD04</t>
    <phoneticPr fontId="6" type="noConversion"/>
  </si>
  <si>
    <t>ROSE OTTO HYDROSOL 125ml</t>
    <phoneticPr fontId="6" type="noConversion"/>
  </si>
  <si>
    <r>
      <t xml:space="preserve">100% CERTIFIED ORGANIC MASSAGE OIL </t>
    </r>
    <r>
      <rPr>
        <i/>
        <sz val="9"/>
        <rFont val="Arial"/>
        <family val="2"/>
      </rPr>
      <t>(Certified Organic by ACO)</t>
    </r>
  </si>
  <si>
    <t>AMO01</t>
    <phoneticPr fontId="6" type="noConversion"/>
  </si>
  <si>
    <t>BEAUTIFUL BUST OIL 100ml</t>
    <phoneticPr fontId="6" type="noConversion"/>
  </si>
  <si>
    <t>AMO02</t>
    <phoneticPr fontId="6" type="noConversion"/>
  </si>
  <si>
    <t>MUSCLE HEALTH OIL 100ml</t>
    <phoneticPr fontId="6" type="noConversion"/>
  </si>
  <si>
    <t>AMO03</t>
    <phoneticPr fontId="6" type="noConversion"/>
  </si>
  <si>
    <t>RELAXATION OIL 100ml</t>
    <phoneticPr fontId="6" type="noConversion"/>
  </si>
  <si>
    <t>AMO04</t>
    <phoneticPr fontId="6" type="noConversion"/>
  </si>
  <si>
    <t>SLIM and TRIM OIL 100ml</t>
    <phoneticPr fontId="6" type="noConversion"/>
  </si>
  <si>
    <r>
      <t xml:space="preserve">100% CERTIFIED ORGANIC ESSENTIAL OIL BLEND </t>
    </r>
    <r>
      <rPr>
        <i/>
        <sz val="9"/>
        <rFont val="Arial"/>
        <family val="2"/>
      </rPr>
      <t>(Certified Organic by ACO)</t>
    </r>
  </si>
  <si>
    <t>AEB01</t>
    <phoneticPr fontId="6" type="noConversion"/>
  </si>
  <si>
    <t>DETOX &amp; STRESS FREE ESSENTIAL OIL BLEND 10ml</t>
    <phoneticPr fontId="6" type="noConversion"/>
  </si>
  <si>
    <t>AEB02</t>
    <phoneticPr fontId="6" type="noConversion"/>
  </si>
  <si>
    <t>HAPPINESS &amp; ENERGY ESSENTIAL OIL BLEND 10ml</t>
    <phoneticPr fontId="6" type="noConversion"/>
  </si>
  <si>
    <t>AEB03</t>
    <phoneticPr fontId="6" type="noConversion"/>
  </si>
  <si>
    <t>MUSCLE HEALTH ESSENTIAL OIL BLEND 10ml</t>
    <phoneticPr fontId="6" type="noConversion"/>
  </si>
  <si>
    <t>AEB04</t>
    <phoneticPr fontId="6" type="noConversion"/>
  </si>
  <si>
    <t>PURIFYING &amp; HEALTH ESSENTIAL OIL BLEND 10ml</t>
    <phoneticPr fontId="6" type="noConversion"/>
  </si>
  <si>
    <t>AEB05</t>
    <phoneticPr fontId="6" type="noConversion"/>
  </si>
  <si>
    <t>RELAXATION ESSENTIAL OIL BLEND 10ml</t>
    <phoneticPr fontId="6" type="noConversion"/>
  </si>
  <si>
    <t>AROMATHERAPY KITS</t>
    <phoneticPr fontId="6" type="noConversion"/>
  </si>
  <si>
    <t>AEOC</t>
    <phoneticPr fontId="6" type="noConversion"/>
  </si>
  <si>
    <t xml:space="preserve">                -   </t>
  </si>
  <si>
    <t>Please email as an attachment to - enquire@trueway.net.au</t>
    <phoneticPr fontId="2" type="noConversion"/>
  </si>
  <si>
    <t>Please type the number of unit required in column H</t>
    <phoneticPr fontId="2" type="noConversion"/>
  </si>
  <si>
    <t>CODE</t>
    <phoneticPr fontId="2" type="noConversion"/>
  </si>
  <si>
    <t>UNITS / BOX</t>
    <phoneticPr fontId="2" type="noConversion"/>
  </si>
  <si>
    <t>UNIT PRICE
EX-GST</t>
    <phoneticPr fontId="2" type="noConversion"/>
  </si>
  <si>
    <t>UNIT 
ORDERED</t>
  </si>
  <si>
    <t>ABN 94123627663</t>
    <phoneticPr fontId="0" type="noConversion"/>
  </si>
  <si>
    <t>Unit 1, 8 Wainwright Rd, Mount Druitt NSW 2770</t>
    <phoneticPr fontId="0" type="noConversion"/>
  </si>
  <si>
    <t>INVOICE TO</t>
  </si>
  <si>
    <t>To:</t>
  </si>
  <si>
    <t>Contact:</t>
  </si>
  <si>
    <t>Tel:</t>
  </si>
  <si>
    <t>Fax:</t>
  </si>
  <si>
    <t>Mob:</t>
  </si>
  <si>
    <t>Email:</t>
  </si>
  <si>
    <t xml:space="preserve"> or     print this sheet and fax back on 02 8078 6066</t>
    <phoneticPr fontId="2" type="noConversion"/>
  </si>
  <si>
    <t>ODT01</t>
  </si>
  <si>
    <t>TEA TREE DEFENCE TOOTHPASTE 130g</t>
  </si>
  <si>
    <t>ODT02</t>
  </si>
  <si>
    <t>BRIGHT MINT TOOTHPASTE 130g</t>
  </si>
  <si>
    <t>ODT03</t>
  </si>
  <si>
    <t>TRUEWAY INTERNATIONAL PTY LTD</t>
  </si>
  <si>
    <t>934117903-4108</t>
  </si>
  <si>
    <t>934117903-4092</t>
  </si>
  <si>
    <t>934117903-4115</t>
  </si>
  <si>
    <t>934117903-1022</t>
  </si>
  <si>
    <t>934117903-1039</t>
  </si>
  <si>
    <t>934117903-1046</t>
  </si>
  <si>
    <t>934117903-1053</t>
  </si>
  <si>
    <t>934117903-1060</t>
  </si>
  <si>
    <t>934117903-1268</t>
  </si>
  <si>
    <t>934117903-1282</t>
  </si>
  <si>
    <t>934117903-1299</t>
  </si>
  <si>
    <t>934117903-1497</t>
  </si>
  <si>
    <t>934117903-1565</t>
  </si>
  <si>
    <t>934117903-1480</t>
  </si>
  <si>
    <t>934117903-1572</t>
  </si>
  <si>
    <t>934117903-1626</t>
  </si>
  <si>
    <t>934117903-1589</t>
  </si>
  <si>
    <t>934117903-1596</t>
  </si>
  <si>
    <t>934117903-1602</t>
  </si>
  <si>
    <t>934117903-1619</t>
  </si>
  <si>
    <t>934117903-1015</t>
  </si>
  <si>
    <t>934117903-1374</t>
  </si>
  <si>
    <t>934117903-1084</t>
  </si>
  <si>
    <t>934117903-1091</t>
  </si>
  <si>
    <t>934117903-1107</t>
  </si>
  <si>
    <t>934117903-1114</t>
  </si>
  <si>
    <t>934117903-1190</t>
  </si>
  <si>
    <t>934117903-1756</t>
  </si>
  <si>
    <t>934117903-1176</t>
  </si>
  <si>
    <t>934117903-1183</t>
  </si>
  <si>
    <t>934117903-1077</t>
  </si>
  <si>
    <t>934117903-112?</t>
  </si>
  <si>
    <t>934117903-1725</t>
  </si>
  <si>
    <t>934117903-1633</t>
  </si>
  <si>
    <t>934117903-1640</t>
  </si>
  <si>
    <t>934117903-1657</t>
  </si>
  <si>
    <t>934117903-1664</t>
  </si>
  <si>
    <t>934117903-0001</t>
  </si>
  <si>
    <t>934117903-0032</t>
  </si>
  <si>
    <t>934117903-0353</t>
  </si>
  <si>
    <t>934117903-0094</t>
  </si>
  <si>
    <t>934117903-0100</t>
  </si>
  <si>
    <t>934117903-0148</t>
  </si>
  <si>
    <t>934117903-0193</t>
  </si>
  <si>
    <t>934117903-0230</t>
  </si>
  <si>
    <t>934117903-0261</t>
  </si>
  <si>
    <t>934117903-0292</t>
  </si>
  <si>
    <t>934117903-0315</t>
  </si>
  <si>
    <t>934117903-0322</t>
  </si>
  <si>
    <t>934117903-0339</t>
  </si>
  <si>
    <t>934117903-0346</t>
  </si>
  <si>
    <t>934117902-0002</t>
  </si>
  <si>
    <t>934117902-0019</t>
  </si>
  <si>
    <t>934117902-0033</t>
  </si>
  <si>
    <t>934117902-0026</t>
  </si>
  <si>
    <t>934117902-0040</t>
  </si>
  <si>
    <t>934117902-0545</t>
  </si>
  <si>
    <t>BASIL OIL 5ml</t>
    <phoneticPr fontId="6" type="noConversion"/>
  </si>
  <si>
    <t>934117903-2005</t>
  </si>
  <si>
    <t>AEO001</t>
    <phoneticPr fontId="6" type="noConversion"/>
  </si>
  <si>
    <t>934117903-2012</t>
  </si>
  <si>
    <t>AEO002</t>
    <phoneticPr fontId="6" type="noConversion"/>
  </si>
  <si>
    <t>934117903-2029</t>
  </si>
  <si>
    <t>AEO003</t>
    <phoneticPr fontId="6" type="noConversion"/>
  </si>
  <si>
    <t>BASIL OIL 30ml</t>
    <phoneticPr fontId="6" type="noConversion"/>
  </si>
  <si>
    <t>934117903-2036</t>
  </si>
  <si>
    <t>AEO004</t>
    <phoneticPr fontId="6" type="noConversion"/>
  </si>
  <si>
    <t>BERGAMOT OIL BERGAPTENE FREE 5ml</t>
    <phoneticPr fontId="6" type="noConversion"/>
  </si>
  <si>
    <t>934117903-2043</t>
  </si>
  <si>
    <t>934117903-2050</t>
  </si>
  <si>
    <t>AEO006</t>
    <phoneticPr fontId="6" type="noConversion"/>
  </si>
  <si>
    <t>BERGAMOT OIL BERGAPTENE FREE 30ml</t>
    <phoneticPr fontId="6" type="noConversion"/>
  </si>
  <si>
    <t>934117903-2067</t>
  </si>
  <si>
    <t>AEO007</t>
    <phoneticPr fontId="6" type="noConversion"/>
  </si>
  <si>
    <t>BLACK PEPPER OIL 5ml</t>
    <phoneticPr fontId="6" type="noConversion"/>
  </si>
  <si>
    <t>934117903-2074</t>
  </si>
  <si>
    <t>934117903-2081</t>
  </si>
  <si>
    <t>BLACK PEPPER OIL 30ml</t>
    <phoneticPr fontId="6" type="noConversion"/>
  </si>
  <si>
    <t>934117903-2098</t>
  </si>
  <si>
    <t>AEO010</t>
    <phoneticPr fontId="6" type="noConversion"/>
  </si>
  <si>
    <t>CEDARWOOD ATLAS OIL 5ml</t>
    <phoneticPr fontId="6" type="noConversion"/>
  </si>
  <si>
    <t>934117903-2104</t>
  </si>
  <si>
    <t>AEO011</t>
    <phoneticPr fontId="6" type="noConversion"/>
  </si>
  <si>
    <t>934117903-2111</t>
  </si>
  <si>
    <t>AEO012</t>
    <phoneticPr fontId="6" type="noConversion"/>
  </si>
  <si>
    <t>CEDARWOOD ATLAS OIL 30ml</t>
    <phoneticPr fontId="6" type="noConversion"/>
  </si>
  <si>
    <t>934117903-2128</t>
  </si>
  <si>
    <t>AEO013</t>
    <phoneticPr fontId="6" type="noConversion"/>
  </si>
  <si>
    <t>CHAMOMILE GERMAN BLUE OIL 5ml</t>
    <phoneticPr fontId="6" type="noConversion"/>
  </si>
  <si>
    <t>934117903-2135</t>
  </si>
  <si>
    <t>AEO014</t>
    <phoneticPr fontId="6" type="noConversion"/>
  </si>
  <si>
    <t>934117903-2142</t>
  </si>
  <si>
    <t>AEO015</t>
    <phoneticPr fontId="6" type="noConversion"/>
  </si>
  <si>
    <t>CHAMOMILE GERMAN BLUE OIL 30ml</t>
    <phoneticPr fontId="6" type="noConversion"/>
  </si>
  <si>
    <t>934117903-2159</t>
  </si>
  <si>
    <t>AEO016</t>
    <phoneticPr fontId="6" type="noConversion"/>
  </si>
  <si>
    <t>934117903-2166</t>
  </si>
  <si>
    <t>AEO017</t>
    <phoneticPr fontId="6" type="noConversion"/>
  </si>
  <si>
    <t>CHAMOMILE ROMAN OIL 5ml</t>
    <phoneticPr fontId="6" type="noConversion"/>
  </si>
  <si>
    <t>934117903-2173</t>
  </si>
  <si>
    <t>AEO018</t>
    <phoneticPr fontId="6" type="noConversion"/>
  </si>
  <si>
    <t>934117903-2180</t>
  </si>
  <si>
    <t>AEO019</t>
    <phoneticPr fontId="6" type="noConversion"/>
  </si>
  <si>
    <t>CHAMOMILE ROMAN OIL 30ml</t>
    <phoneticPr fontId="6" type="noConversion"/>
  </si>
  <si>
    <t>934117903-2197</t>
  </si>
  <si>
    <t>AEO020</t>
    <phoneticPr fontId="6" type="noConversion"/>
  </si>
  <si>
    <t>CINNAMON BARK OIL 5ml</t>
    <phoneticPr fontId="6" type="noConversion"/>
  </si>
  <si>
    <t>934117903-2203</t>
  </si>
  <si>
    <t>AEO021</t>
    <phoneticPr fontId="6" type="noConversion"/>
  </si>
  <si>
    <t>934117903-2210</t>
  </si>
  <si>
    <t>AEO022</t>
    <phoneticPr fontId="6" type="noConversion"/>
  </si>
  <si>
    <t>CINNAMON BARK OIL 30ml</t>
    <phoneticPr fontId="6" type="noConversion"/>
  </si>
  <si>
    <t>934117903-2227</t>
  </si>
  <si>
    <t>AEO023</t>
    <phoneticPr fontId="6" type="noConversion"/>
  </si>
  <si>
    <t>CINNAMON OIL 5ml</t>
    <phoneticPr fontId="6" type="noConversion"/>
  </si>
  <si>
    <t>934117903-2234</t>
  </si>
  <si>
    <t>AEO024</t>
    <phoneticPr fontId="6" type="noConversion"/>
  </si>
  <si>
    <t>934117903-2241</t>
  </si>
  <si>
    <t>AEO025</t>
    <phoneticPr fontId="6" type="noConversion"/>
  </si>
  <si>
    <t>CINNAMON OIL 30ml</t>
    <phoneticPr fontId="6" type="noConversion"/>
  </si>
  <si>
    <t>934117903-2258</t>
  </si>
  <si>
    <t>AEO026</t>
    <phoneticPr fontId="6" type="noConversion"/>
  </si>
  <si>
    <t>CITRONELLA OIL 5ml</t>
    <phoneticPr fontId="6" type="noConversion"/>
  </si>
  <si>
    <t>934117903-2265</t>
  </si>
  <si>
    <t>AEO027</t>
    <phoneticPr fontId="6" type="noConversion"/>
  </si>
  <si>
    <t>934117903-2272</t>
  </si>
  <si>
    <t>AEO028</t>
    <phoneticPr fontId="6" type="noConversion"/>
  </si>
  <si>
    <t>CITRONELLA OIL 30ml</t>
    <phoneticPr fontId="6" type="noConversion"/>
  </si>
  <si>
    <t>934117903-2289</t>
  </si>
  <si>
    <t>AEO029</t>
    <phoneticPr fontId="6" type="noConversion"/>
  </si>
  <si>
    <t>CLARY SAGE OIL 5ml</t>
    <phoneticPr fontId="6" type="noConversion"/>
  </si>
  <si>
    <t>934117903-2296</t>
  </si>
  <si>
    <t>AEO030</t>
    <phoneticPr fontId="6" type="noConversion"/>
  </si>
  <si>
    <t>934117903-2302</t>
  </si>
  <si>
    <t>AEO031</t>
    <phoneticPr fontId="6" type="noConversion"/>
  </si>
  <si>
    <t>CLARY SAGE OIL 30ml</t>
    <phoneticPr fontId="6" type="noConversion"/>
  </si>
  <si>
    <t>934117903-2319</t>
  </si>
  <si>
    <t>AEO032</t>
    <phoneticPr fontId="6" type="noConversion"/>
  </si>
  <si>
    <t>CLOVE BUD OIL 5ml</t>
    <phoneticPr fontId="6" type="noConversion"/>
  </si>
  <si>
    <t>934117903-2326</t>
  </si>
  <si>
    <t>AEO033</t>
    <phoneticPr fontId="6" type="noConversion"/>
  </si>
  <si>
    <t>934117903-2333</t>
  </si>
  <si>
    <t>AEO034</t>
    <phoneticPr fontId="6" type="noConversion"/>
  </si>
  <si>
    <t>CLOVE BUD OIL 30ml</t>
    <phoneticPr fontId="6" type="noConversion"/>
  </si>
  <si>
    <t>934117903-2340</t>
  </si>
  <si>
    <t>AEO035</t>
    <phoneticPr fontId="6" type="noConversion"/>
  </si>
  <si>
    <t>CYPRESS OIL 5ml</t>
    <phoneticPr fontId="6" type="noConversion"/>
  </si>
  <si>
    <t>934117903-2357</t>
  </si>
  <si>
    <t>AEO036</t>
    <phoneticPr fontId="6" type="noConversion"/>
  </si>
  <si>
    <t>934117903-2364</t>
  </si>
  <si>
    <t>AEO037</t>
    <phoneticPr fontId="6" type="noConversion"/>
  </si>
  <si>
    <t>CYPRESS OIL 30ml</t>
    <phoneticPr fontId="6" type="noConversion"/>
  </si>
  <si>
    <t>934117903-2371</t>
  </si>
  <si>
    <t>AEO038</t>
    <phoneticPr fontId="6" type="noConversion"/>
  </si>
  <si>
    <t>934117903-2388</t>
  </si>
  <si>
    <t>AEO039</t>
    <phoneticPr fontId="6" type="noConversion"/>
  </si>
  <si>
    <t>934117903-2395</t>
  </si>
  <si>
    <t>EUCALYPTUS RADIATA OIL 30ml</t>
    <phoneticPr fontId="6" type="noConversion"/>
  </si>
  <si>
    <t>934117903-2401</t>
  </si>
  <si>
    <t>FENNEL SWEET OIL 5ml</t>
    <phoneticPr fontId="6" type="noConversion"/>
  </si>
  <si>
    <t>934117903-2418</t>
  </si>
  <si>
    <t>AEO042</t>
    <phoneticPr fontId="6" type="noConversion"/>
  </si>
  <si>
    <t>934117903-2425</t>
  </si>
  <si>
    <t>AEO043</t>
    <phoneticPr fontId="6" type="noConversion"/>
  </si>
  <si>
    <t>934117903-2432</t>
  </si>
  <si>
    <t>AEO044</t>
    <phoneticPr fontId="6" type="noConversion"/>
  </si>
  <si>
    <t>FRANKINCENSE OIL 5ml</t>
    <phoneticPr fontId="6" type="noConversion"/>
  </si>
  <si>
    <t>934117903-2449</t>
  </si>
  <si>
    <t>AEO045</t>
    <phoneticPr fontId="6" type="noConversion"/>
  </si>
  <si>
    <t>934117903-2456</t>
  </si>
  <si>
    <t>FRANKINCENSE OIL 30ml</t>
    <phoneticPr fontId="6" type="noConversion"/>
  </si>
  <si>
    <t>934117903-2463</t>
  </si>
  <si>
    <t>GERANIUM OIL 5ml</t>
    <phoneticPr fontId="6" type="noConversion"/>
  </si>
  <si>
    <t>934117903-2470</t>
  </si>
  <si>
    <t>AEO048</t>
    <phoneticPr fontId="6" type="noConversion"/>
  </si>
  <si>
    <t>934117903-2487</t>
  </si>
  <si>
    <t>AEO049</t>
    <phoneticPr fontId="6" type="noConversion"/>
  </si>
  <si>
    <t>GERANIUM OIL 30ml</t>
    <phoneticPr fontId="6" type="noConversion"/>
  </si>
  <si>
    <t>934117903-2494</t>
  </si>
  <si>
    <t>AEO050</t>
    <phoneticPr fontId="6" type="noConversion"/>
  </si>
  <si>
    <t>934117903-2500</t>
  </si>
  <si>
    <t>AEO051</t>
    <phoneticPr fontId="6" type="noConversion"/>
  </si>
  <si>
    <t>934117903-2517</t>
  </si>
  <si>
    <t>AEO052</t>
    <phoneticPr fontId="6" type="noConversion"/>
  </si>
  <si>
    <t>GINGER OIL 30ml</t>
    <phoneticPr fontId="6" type="noConversion"/>
  </si>
  <si>
    <t>934117903-2524</t>
  </si>
  <si>
    <t>GRAPEFRUIT PINK OIL 5ml</t>
    <phoneticPr fontId="6" type="noConversion"/>
  </si>
  <si>
    <t>934117903-2531</t>
  </si>
  <si>
    <t>AEO054</t>
    <phoneticPr fontId="6" type="noConversion"/>
  </si>
  <si>
    <t>934117903-2548</t>
  </si>
  <si>
    <t>AEO055</t>
    <phoneticPr fontId="6" type="noConversion"/>
  </si>
  <si>
    <t>GRAPEFRUIT PINK OIL 30ml</t>
    <phoneticPr fontId="6" type="noConversion"/>
  </si>
  <si>
    <t>934117903-2555</t>
  </si>
  <si>
    <t>AEO056</t>
    <phoneticPr fontId="6" type="noConversion"/>
  </si>
  <si>
    <t>934117903-2562</t>
  </si>
  <si>
    <t>AEO057</t>
    <phoneticPr fontId="6" type="noConversion"/>
  </si>
  <si>
    <t>IMMORTELLE OIL 5ml</t>
    <phoneticPr fontId="6" type="noConversion"/>
  </si>
  <si>
    <t>934117903-2579</t>
  </si>
  <si>
    <t>AEO058</t>
    <phoneticPr fontId="6" type="noConversion"/>
  </si>
  <si>
    <t>934117903-2586</t>
  </si>
  <si>
    <t>AEO059</t>
    <phoneticPr fontId="6" type="noConversion"/>
  </si>
  <si>
    <t>IMMORTELLE OIL 30ml</t>
    <phoneticPr fontId="6" type="noConversion"/>
  </si>
  <si>
    <t>934117903-2593</t>
  </si>
  <si>
    <t>934117903-2609</t>
  </si>
  <si>
    <t>AEO061</t>
    <phoneticPr fontId="6" type="noConversion"/>
  </si>
  <si>
    <t>JASMINE OIL 5ml</t>
    <phoneticPr fontId="6" type="noConversion"/>
  </si>
  <si>
    <t>934117903-2616</t>
  </si>
  <si>
    <t>AEO062</t>
    <phoneticPr fontId="6" type="noConversion"/>
  </si>
  <si>
    <t>934117903-2623</t>
  </si>
  <si>
    <t>AEO063</t>
    <phoneticPr fontId="6" type="noConversion"/>
  </si>
  <si>
    <t>JASMINE OIL 30ml</t>
    <phoneticPr fontId="6" type="noConversion"/>
  </si>
  <si>
    <t>934117903-2630</t>
  </si>
  <si>
    <t>AEO064</t>
    <phoneticPr fontId="6" type="noConversion"/>
  </si>
  <si>
    <t>934117903-2647</t>
  </si>
  <si>
    <t>AEO065</t>
    <phoneticPr fontId="6" type="noConversion"/>
  </si>
  <si>
    <t>934117903-2654</t>
  </si>
  <si>
    <t>AEO066</t>
    <phoneticPr fontId="6" type="noConversion"/>
  </si>
  <si>
    <t>JUNIPERBERRY OIL 30ml</t>
    <phoneticPr fontId="6" type="noConversion"/>
  </si>
  <si>
    <t>934117903-2661</t>
  </si>
  <si>
    <t>AEO067</t>
    <phoneticPr fontId="6" type="noConversion"/>
  </si>
  <si>
    <t>LAVANDIN OIL 5ml</t>
    <phoneticPr fontId="6" type="noConversion"/>
  </si>
  <si>
    <t>934117903-2678</t>
  </si>
  <si>
    <t>AEO068</t>
    <phoneticPr fontId="6" type="noConversion"/>
  </si>
  <si>
    <t>934117903-2685</t>
  </si>
  <si>
    <t>AEO069</t>
    <phoneticPr fontId="6" type="noConversion"/>
  </si>
  <si>
    <t>LAVANDIN OIL 30ml</t>
    <phoneticPr fontId="6" type="noConversion"/>
  </si>
  <si>
    <t>934117903-2692</t>
  </si>
  <si>
    <t>AEO070</t>
    <phoneticPr fontId="6" type="noConversion"/>
  </si>
  <si>
    <t>LAVENDER OIL 5ml</t>
    <phoneticPr fontId="6" type="noConversion"/>
  </si>
  <si>
    <t>934117903-2708</t>
  </si>
  <si>
    <t>AEO071</t>
    <phoneticPr fontId="6" type="noConversion"/>
  </si>
  <si>
    <t>934117903-2715</t>
  </si>
  <si>
    <t>AEO072</t>
    <phoneticPr fontId="6" type="noConversion"/>
  </si>
  <si>
    <t>LAVENDER OIL 30ml</t>
    <phoneticPr fontId="6" type="noConversion"/>
  </si>
  <si>
    <t>934117903-2722</t>
  </si>
  <si>
    <t>AEO073</t>
    <phoneticPr fontId="6" type="noConversion"/>
  </si>
  <si>
    <t>LAVENDER SPIKE OIL 5ml</t>
    <phoneticPr fontId="6" type="noConversion"/>
  </si>
  <si>
    <t>934117903-2739</t>
  </si>
  <si>
    <t>AEO074</t>
    <phoneticPr fontId="6" type="noConversion"/>
  </si>
  <si>
    <t>934117903-2746</t>
  </si>
  <si>
    <t>AEO075</t>
    <phoneticPr fontId="6" type="noConversion"/>
  </si>
  <si>
    <t>LAVENDER SPIKE OIL 30ml</t>
    <phoneticPr fontId="6" type="noConversion"/>
  </si>
  <si>
    <t>934117903-2753</t>
  </si>
  <si>
    <t>AEO076</t>
    <phoneticPr fontId="6" type="noConversion"/>
  </si>
  <si>
    <t>LEMON MYRTLE OIL 5ml</t>
    <phoneticPr fontId="6" type="noConversion"/>
  </si>
  <si>
    <t>934117903-2760</t>
  </si>
  <si>
    <t>AEO077</t>
    <phoneticPr fontId="6" type="noConversion"/>
  </si>
  <si>
    <t>934117903-2777</t>
  </si>
  <si>
    <t>AEO078</t>
    <phoneticPr fontId="6" type="noConversion"/>
  </si>
  <si>
    <t>LEMON MYRTLE OIL 30ml</t>
    <phoneticPr fontId="6" type="noConversion"/>
  </si>
  <si>
    <t>934117903-2784</t>
  </si>
  <si>
    <t>AEO079</t>
    <phoneticPr fontId="6" type="noConversion"/>
  </si>
  <si>
    <t>LEMON OIL 5ml</t>
    <phoneticPr fontId="6" type="noConversion"/>
  </si>
  <si>
    <t>934117903-2791</t>
  </si>
  <si>
    <t>AEO080</t>
    <phoneticPr fontId="6" type="noConversion"/>
  </si>
  <si>
    <t>934117903-2807</t>
  </si>
  <si>
    <t>AEO081</t>
    <phoneticPr fontId="6" type="noConversion"/>
  </si>
  <si>
    <t>LEMON OIL 30ml</t>
    <phoneticPr fontId="6" type="noConversion"/>
  </si>
  <si>
    <t>934117903-2814</t>
  </si>
  <si>
    <t>AEO082</t>
    <phoneticPr fontId="6" type="noConversion"/>
  </si>
  <si>
    <t>LEMON SCENTED TEA TREE OIL 5ml</t>
    <phoneticPr fontId="6" type="noConversion"/>
  </si>
  <si>
    <t>934117903-2821</t>
  </si>
  <si>
    <t>AEO083</t>
    <phoneticPr fontId="6" type="noConversion"/>
  </si>
  <si>
    <t>934117903-2838</t>
  </si>
  <si>
    <t>AEO084</t>
    <phoneticPr fontId="6" type="noConversion"/>
  </si>
  <si>
    <t>LEMON SCENTED TEA TREE OIL 30ml</t>
    <phoneticPr fontId="6" type="noConversion"/>
  </si>
  <si>
    <t>934117903-2845</t>
  </si>
  <si>
    <t>AEO085</t>
    <phoneticPr fontId="6" type="noConversion"/>
  </si>
  <si>
    <t>LEMONGRASS OIL 5ml</t>
    <phoneticPr fontId="6" type="noConversion"/>
  </si>
  <si>
    <t>934117903-2852</t>
  </si>
  <si>
    <t>AEO086</t>
    <phoneticPr fontId="6" type="noConversion"/>
  </si>
  <si>
    <t>934117903-2869</t>
  </si>
  <si>
    <t>AEO087</t>
    <phoneticPr fontId="6" type="noConversion"/>
  </si>
  <si>
    <t>LEMONGRASS OIL 30ml</t>
    <phoneticPr fontId="6" type="noConversion"/>
  </si>
  <si>
    <t>934117903-2876</t>
  </si>
  <si>
    <t>AEO088</t>
    <phoneticPr fontId="6" type="noConversion"/>
  </si>
  <si>
    <t>LIME COLD PRESSED OIL 5ml</t>
    <phoneticPr fontId="6" type="noConversion"/>
  </si>
  <si>
    <t>934117903-2883</t>
  </si>
  <si>
    <t>AEO089</t>
    <phoneticPr fontId="6" type="noConversion"/>
  </si>
  <si>
    <t>934117903-2890</t>
  </si>
  <si>
    <t>AEO090</t>
    <phoneticPr fontId="6" type="noConversion"/>
  </si>
  <si>
    <t>LIME COLD PRESSED OIL 30ml</t>
    <phoneticPr fontId="6" type="noConversion"/>
  </si>
  <si>
    <t>934117903-2906</t>
  </si>
  <si>
    <t>AEO091</t>
    <phoneticPr fontId="6" type="noConversion"/>
  </si>
  <si>
    <t>MANDARIN RED OIL 5ml</t>
    <phoneticPr fontId="6" type="noConversion"/>
  </si>
  <si>
    <t>934117903-2913</t>
  </si>
  <si>
    <t>AEO092</t>
    <phoneticPr fontId="6" type="noConversion"/>
  </si>
  <si>
    <t>934117903-2920</t>
  </si>
  <si>
    <t>AEO093</t>
    <phoneticPr fontId="6" type="noConversion"/>
  </si>
  <si>
    <t>MANDARIN RED OIL 30ml</t>
    <phoneticPr fontId="6" type="noConversion"/>
  </si>
  <si>
    <t>934117903-2937</t>
  </si>
  <si>
    <t>AEO094</t>
    <phoneticPr fontId="6" type="noConversion"/>
  </si>
  <si>
    <t>MARJORAM SWEET OIL 5ml</t>
    <phoneticPr fontId="6" type="noConversion"/>
  </si>
  <si>
    <t>934117903-2944</t>
  </si>
  <si>
    <t>AEO095</t>
    <phoneticPr fontId="6" type="noConversion"/>
  </si>
  <si>
    <t>934117903-2951</t>
  </si>
  <si>
    <t>AEO096</t>
    <phoneticPr fontId="6" type="noConversion"/>
  </si>
  <si>
    <t>MARJORAM SWEET OIL 30ml</t>
    <phoneticPr fontId="6" type="noConversion"/>
  </si>
  <si>
    <t>934117903-2968</t>
  </si>
  <si>
    <t>AEO097</t>
    <phoneticPr fontId="6" type="noConversion"/>
  </si>
  <si>
    <t>MAY CHANG OIL 5ml</t>
    <phoneticPr fontId="6" type="noConversion"/>
  </si>
  <si>
    <t>934117903-2975</t>
  </si>
  <si>
    <t>AEO098</t>
    <phoneticPr fontId="6" type="noConversion"/>
  </si>
  <si>
    <t>934117903-2982</t>
  </si>
  <si>
    <t>MAY CHANG OIL 30ml</t>
    <phoneticPr fontId="6" type="noConversion"/>
  </si>
  <si>
    <t>934117903-2999</t>
  </si>
  <si>
    <t>AEO100</t>
    <phoneticPr fontId="6" type="noConversion"/>
  </si>
  <si>
    <t>934117903-3002</t>
  </si>
  <si>
    <t>AEO101</t>
    <phoneticPr fontId="6" type="noConversion"/>
  </si>
  <si>
    <t>934117903-3019</t>
  </si>
  <si>
    <t>AEO102</t>
    <phoneticPr fontId="6" type="noConversion"/>
  </si>
  <si>
    <t>934117903-3026</t>
  </si>
  <si>
    <t>AEO103</t>
    <phoneticPr fontId="6" type="noConversion"/>
  </si>
  <si>
    <t>934117903-3033</t>
  </si>
  <si>
    <t>AEO104</t>
    <phoneticPr fontId="6" type="noConversion"/>
  </si>
  <si>
    <t>NIAOULI OIL 5ml</t>
    <phoneticPr fontId="6" type="noConversion"/>
  </si>
  <si>
    <t>934117903-3040</t>
  </si>
  <si>
    <t>AEO105</t>
    <phoneticPr fontId="6" type="noConversion"/>
  </si>
  <si>
    <t>934117903-3057</t>
  </si>
  <si>
    <t>AEO106</t>
    <phoneticPr fontId="6" type="noConversion"/>
  </si>
  <si>
    <t>NIAOULI OIL 30ml</t>
    <phoneticPr fontId="6" type="noConversion"/>
  </si>
  <si>
    <t>934117903-3064</t>
  </si>
  <si>
    <t>AEO107</t>
    <phoneticPr fontId="6" type="noConversion"/>
  </si>
  <si>
    <t>NUTMEG OIL 5ml</t>
    <phoneticPr fontId="6" type="noConversion"/>
  </si>
  <si>
    <t>934117903-3071</t>
  </si>
  <si>
    <t>AEO108</t>
    <phoneticPr fontId="6" type="noConversion"/>
  </si>
  <si>
    <t>934117903-3088</t>
  </si>
  <si>
    <t>AEO109</t>
    <phoneticPr fontId="6" type="noConversion"/>
  </si>
  <si>
    <t>NUTMEG OIL 30ml</t>
    <phoneticPr fontId="6" type="noConversion"/>
  </si>
  <si>
    <t>934117903-3095</t>
  </si>
  <si>
    <t>AEO110</t>
    <phoneticPr fontId="6" type="noConversion"/>
  </si>
  <si>
    <t>ORANGE SWEET OIL 5ml</t>
    <phoneticPr fontId="6" type="noConversion"/>
  </si>
  <si>
    <t>934117903-3101</t>
  </si>
  <si>
    <t>AEO111</t>
    <phoneticPr fontId="6" type="noConversion"/>
  </si>
  <si>
    <t>934117903-3118</t>
  </si>
  <si>
    <t>AEO112</t>
    <phoneticPr fontId="6" type="noConversion"/>
  </si>
  <si>
    <t>ORANGE SWEET OIL 30ml</t>
    <phoneticPr fontId="6" type="noConversion"/>
  </si>
  <si>
    <t>934117903-3125</t>
  </si>
  <si>
    <t>PALMAROSA OIL 5ml</t>
    <phoneticPr fontId="6" type="noConversion"/>
  </si>
  <si>
    <t>934117903-3132</t>
  </si>
  <si>
    <t>AEO114</t>
    <phoneticPr fontId="6" type="noConversion"/>
  </si>
  <si>
    <t>934117903-3149</t>
  </si>
  <si>
    <t>AEO115</t>
    <phoneticPr fontId="6" type="noConversion"/>
  </si>
  <si>
    <t>PALMAROSA OIL 30ml</t>
    <phoneticPr fontId="6" type="noConversion"/>
  </si>
  <si>
    <t>934117903-3156</t>
  </si>
  <si>
    <t>AEO116</t>
    <phoneticPr fontId="6" type="noConversion"/>
  </si>
  <si>
    <t>PATCHOULI OIL 5ml</t>
    <phoneticPr fontId="6" type="noConversion"/>
  </si>
  <si>
    <t>934117903-3163</t>
  </si>
  <si>
    <t>AEO117</t>
    <phoneticPr fontId="6" type="noConversion"/>
  </si>
  <si>
    <t>934117903-3170</t>
  </si>
  <si>
    <t>AEO118</t>
    <phoneticPr fontId="6" type="noConversion"/>
  </si>
  <si>
    <t>PATCHOULI OIL 30ml</t>
    <phoneticPr fontId="6" type="noConversion"/>
  </si>
  <si>
    <t>934117903-3187</t>
  </si>
  <si>
    <t>AEO119</t>
    <phoneticPr fontId="6" type="noConversion"/>
  </si>
  <si>
    <t>PEPPERMINT OIL 5ml</t>
    <phoneticPr fontId="6" type="noConversion"/>
  </si>
  <si>
    <t>934117903-3194</t>
  </si>
  <si>
    <t>AEO120</t>
    <phoneticPr fontId="6" type="noConversion"/>
  </si>
  <si>
    <t>934117903-3200</t>
  </si>
  <si>
    <t>AEO121</t>
    <phoneticPr fontId="6" type="noConversion"/>
  </si>
  <si>
    <t>PEPPERMINT OIL 30ml</t>
    <phoneticPr fontId="6" type="noConversion"/>
  </si>
  <si>
    <t>934117903-3217</t>
  </si>
  <si>
    <t>AEO122</t>
    <phoneticPr fontId="6" type="noConversion"/>
  </si>
  <si>
    <t>934117903-3224</t>
  </si>
  <si>
    <t>AEO123</t>
    <phoneticPr fontId="6" type="noConversion"/>
  </si>
  <si>
    <t>934117903-3231</t>
  </si>
  <si>
    <t>AEO124</t>
    <phoneticPr fontId="6" type="noConversion"/>
  </si>
  <si>
    <t>PETITGRAIN BIGARADE OIL 30ml</t>
    <phoneticPr fontId="6" type="noConversion"/>
  </si>
  <si>
    <t>934117903-3248</t>
  </si>
  <si>
    <t>AEO125</t>
    <phoneticPr fontId="6" type="noConversion"/>
  </si>
  <si>
    <t>PINE SCOTCH OIL 5ml</t>
    <phoneticPr fontId="6" type="noConversion"/>
  </si>
  <si>
    <t>934117903-3255</t>
  </si>
  <si>
    <t>AEO126</t>
    <phoneticPr fontId="6" type="noConversion"/>
  </si>
  <si>
    <t>934117903-3262</t>
  </si>
  <si>
    <t>AEO127</t>
    <phoneticPr fontId="6" type="noConversion"/>
  </si>
  <si>
    <t>PINE SCOTCH OIL 30ml</t>
    <phoneticPr fontId="6" type="noConversion"/>
  </si>
  <si>
    <t>934117903-3279</t>
  </si>
  <si>
    <t>AEO128</t>
    <phoneticPr fontId="6" type="noConversion"/>
  </si>
  <si>
    <t>934117903-3286</t>
  </si>
  <si>
    <t>AEO129</t>
    <phoneticPr fontId="6" type="noConversion"/>
  </si>
  <si>
    <t>934117903-3293</t>
  </si>
  <si>
    <t>AEO130</t>
    <phoneticPr fontId="6" type="noConversion"/>
  </si>
  <si>
    <t>934117903-3309</t>
  </si>
  <si>
    <t>ROSALINA OIL 5ml</t>
    <phoneticPr fontId="6" type="noConversion"/>
  </si>
  <si>
    <t>934117903-3316</t>
  </si>
  <si>
    <t>AEO132</t>
    <phoneticPr fontId="6" type="noConversion"/>
  </si>
  <si>
    <t>934117903-3323</t>
  </si>
  <si>
    <t>AEO133</t>
    <phoneticPr fontId="6" type="noConversion"/>
  </si>
  <si>
    <t>ROSALINA OIL 30ml</t>
    <phoneticPr fontId="6" type="noConversion"/>
  </si>
  <si>
    <t>934117903-3330</t>
  </si>
  <si>
    <t>AEO134</t>
    <phoneticPr fontId="6" type="noConversion"/>
  </si>
  <si>
    <t>934117903-3347</t>
  </si>
  <si>
    <t>AEO135</t>
    <phoneticPr fontId="6" type="noConversion"/>
  </si>
  <si>
    <t>ROSE OTTO OIL 5ml</t>
    <phoneticPr fontId="6" type="noConversion"/>
  </si>
  <si>
    <t>934117903-3354</t>
  </si>
  <si>
    <t>AEO136</t>
    <phoneticPr fontId="6" type="noConversion"/>
  </si>
  <si>
    <t>934117903-3361</t>
  </si>
  <si>
    <t>AEO137</t>
    <phoneticPr fontId="6" type="noConversion"/>
  </si>
  <si>
    <t>ROSE OTTO OIL 30ml</t>
    <phoneticPr fontId="6" type="noConversion"/>
  </si>
  <si>
    <t>934117903-3378</t>
  </si>
  <si>
    <t>AEO138</t>
    <phoneticPr fontId="6" type="noConversion"/>
  </si>
  <si>
    <t>ROSEMARY OIL 5ml</t>
    <phoneticPr fontId="6" type="noConversion"/>
  </si>
  <si>
    <t>934117903-3385</t>
  </si>
  <si>
    <t>934117903-3392</t>
  </si>
  <si>
    <t>AEO140</t>
    <phoneticPr fontId="6" type="noConversion"/>
  </si>
  <si>
    <t>ROSEMARY OIL 30ml</t>
    <phoneticPr fontId="6" type="noConversion"/>
  </si>
  <si>
    <t>934117903-3408</t>
  </si>
  <si>
    <t>AEO141</t>
    <phoneticPr fontId="6" type="noConversion"/>
  </si>
  <si>
    <t>SAGE OIL 5ml</t>
    <phoneticPr fontId="6" type="noConversion"/>
  </si>
  <si>
    <t>934117903-3415</t>
  </si>
  <si>
    <t>934117903-3422</t>
  </si>
  <si>
    <t>AEO143</t>
    <phoneticPr fontId="6" type="noConversion"/>
  </si>
  <si>
    <t>SAGE OIL 30ml</t>
    <phoneticPr fontId="6" type="noConversion"/>
  </si>
  <si>
    <t>934117903-3439</t>
  </si>
  <si>
    <t>AEO144</t>
    <phoneticPr fontId="6" type="noConversion"/>
  </si>
  <si>
    <t>934117903-3446</t>
  </si>
  <si>
    <t>AEO145</t>
    <phoneticPr fontId="6" type="noConversion"/>
  </si>
  <si>
    <t>SANDALWOOD PREMIUM OIL 5ml</t>
    <phoneticPr fontId="6" type="noConversion"/>
  </si>
  <si>
    <t>934117903-3453</t>
  </si>
  <si>
    <t>AEO146</t>
    <phoneticPr fontId="6" type="noConversion"/>
  </si>
  <si>
    <t>934117903-3460</t>
  </si>
  <si>
    <t>AEO147</t>
    <phoneticPr fontId="6" type="noConversion"/>
  </si>
  <si>
    <t>SANDALWOOD PREMIUM OIL 30ml</t>
    <phoneticPr fontId="6" type="noConversion"/>
  </si>
  <si>
    <t>934117903-3507</t>
  </si>
  <si>
    <t>AEO151</t>
    <phoneticPr fontId="6" type="noConversion"/>
  </si>
  <si>
    <t>SPEARMINT OIL 5ml</t>
    <phoneticPr fontId="6" type="noConversion"/>
  </si>
  <si>
    <t>934117903-3514</t>
  </si>
  <si>
    <t>AEO152</t>
    <phoneticPr fontId="6" type="noConversion"/>
  </si>
  <si>
    <t>934117903-3521</t>
  </si>
  <si>
    <t>AEO153</t>
    <phoneticPr fontId="6" type="noConversion"/>
  </si>
  <si>
    <t>SPEARMINT OIL 30ml</t>
    <phoneticPr fontId="6" type="noConversion"/>
  </si>
  <si>
    <t>934117903-3538</t>
  </si>
  <si>
    <t>AEO154</t>
    <phoneticPr fontId="6" type="noConversion"/>
  </si>
  <si>
    <t>TEA TREE OIL 5ml</t>
    <phoneticPr fontId="6" type="noConversion"/>
  </si>
  <si>
    <t>934117903-3545</t>
  </si>
  <si>
    <t>934117903-3552</t>
  </si>
  <si>
    <t>AEO156</t>
    <phoneticPr fontId="6" type="noConversion"/>
  </si>
  <si>
    <t>TEA TREE OIL 30ml</t>
    <phoneticPr fontId="6" type="noConversion"/>
  </si>
  <si>
    <t>934117903-3569</t>
  </si>
  <si>
    <t>AEO157</t>
    <phoneticPr fontId="6" type="noConversion"/>
  </si>
  <si>
    <t>934117903-3576</t>
  </si>
  <si>
    <t>AEO158</t>
    <phoneticPr fontId="6" type="noConversion"/>
  </si>
  <si>
    <t>934117903-3583</t>
  </si>
  <si>
    <t>THYME OIL 30ml</t>
    <phoneticPr fontId="6" type="noConversion"/>
  </si>
  <si>
    <t>934117903-3590</t>
  </si>
  <si>
    <t>AEO160</t>
    <phoneticPr fontId="6" type="noConversion"/>
  </si>
  <si>
    <t>VANILLA OLEORESIN 5ml</t>
    <phoneticPr fontId="6" type="noConversion"/>
  </si>
  <si>
    <t>934117903-3606</t>
  </si>
  <si>
    <t>AEO161</t>
    <phoneticPr fontId="6" type="noConversion"/>
  </si>
  <si>
    <t>934117903-3613</t>
  </si>
  <si>
    <t>AEO162</t>
    <phoneticPr fontId="6" type="noConversion"/>
  </si>
  <si>
    <t>VANILLA OLEORESIN 30ml</t>
    <phoneticPr fontId="6" type="noConversion"/>
  </si>
  <si>
    <t>934117903-3620</t>
  </si>
  <si>
    <t>AEO163</t>
    <phoneticPr fontId="6" type="noConversion"/>
  </si>
  <si>
    <t>934117903-3637</t>
  </si>
  <si>
    <t>AEO164</t>
    <phoneticPr fontId="6" type="noConversion"/>
  </si>
  <si>
    <t>934117903-3644</t>
  </si>
  <si>
    <t>AEO165</t>
    <phoneticPr fontId="6" type="noConversion"/>
  </si>
  <si>
    <t>VETIVER OIL 30ml</t>
    <phoneticPr fontId="6" type="noConversion"/>
  </si>
  <si>
    <t>934117903-3651</t>
  </si>
  <si>
    <t>AEO166</t>
    <phoneticPr fontId="6" type="noConversion"/>
  </si>
  <si>
    <t>WINTERGREEN OIL 5ml</t>
    <phoneticPr fontId="6" type="noConversion"/>
  </si>
  <si>
    <t>934117903-3668</t>
  </si>
  <si>
    <t>AEO167</t>
    <phoneticPr fontId="6" type="noConversion"/>
  </si>
  <si>
    <t>934117903-3675</t>
  </si>
  <si>
    <t>AEO168</t>
    <phoneticPr fontId="6" type="noConversion"/>
  </si>
  <si>
    <t>934117903-3682</t>
  </si>
  <si>
    <t>AEO169</t>
    <phoneticPr fontId="6" type="noConversion"/>
  </si>
  <si>
    <t>934117903-3699</t>
  </si>
  <si>
    <t>AEO170</t>
    <phoneticPr fontId="6" type="noConversion"/>
  </si>
  <si>
    <t>YARROW OIL 5ml</t>
    <phoneticPr fontId="6" type="noConversion"/>
  </si>
  <si>
    <t>934117903-3705</t>
  </si>
  <si>
    <t>AEO171</t>
    <phoneticPr fontId="6" type="noConversion"/>
  </si>
  <si>
    <t>934117903-3712</t>
  </si>
  <si>
    <t>AEO172</t>
    <phoneticPr fontId="6" type="noConversion"/>
  </si>
  <si>
    <t>YARROW OIL 30ml</t>
    <phoneticPr fontId="6" type="noConversion"/>
  </si>
  <si>
    <t>934117903-3729</t>
  </si>
  <si>
    <t>AEO173</t>
    <phoneticPr fontId="6" type="noConversion"/>
  </si>
  <si>
    <t>934117903-3736</t>
  </si>
  <si>
    <t>AEO174</t>
    <phoneticPr fontId="6" type="noConversion"/>
  </si>
  <si>
    <t>934117903-3743</t>
  </si>
  <si>
    <t>AEO175</t>
    <phoneticPr fontId="6" type="noConversion"/>
  </si>
  <si>
    <t>YLANG YLANG COMPLETE OIL 30ml</t>
    <phoneticPr fontId="6" type="noConversion"/>
  </si>
  <si>
    <t>934117903-3750</t>
  </si>
  <si>
    <t>934117903-3767</t>
  </si>
  <si>
    <t>934117903-3774</t>
  </si>
  <si>
    <t>934117903-3781</t>
  </si>
  <si>
    <t>934117903-3798</t>
  </si>
  <si>
    <t>934117903-3804</t>
  </si>
  <si>
    <t>934117903-3811</t>
  </si>
  <si>
    <t>934117903-3828</t>
  </si>
  <si>
    <t>934117903-3835</t>
  </si>
  <si>
    <t>934117903-3842</t>
  </si>
  <si>
    <t>934117903-3859</t>
  </si>
  <si>
    <t>934117903-3866</t>
  </si>
  <si>
    <t>934117903-3873</t>
  </si>
  <si>
    <t>934117903-3897</t>
  </si>
  <si>
    <t>934117903-3903</t>
  </si>
  <si>
    <t>934117903-3910</t>
  </si>
  <si>
    <t>934117903-3927</t>
  </si>
  <si>
    <t>934117903-3934</t>
  </si>
  <si>
    <t>934117903-4054</t>
  </si>
  <si>
    <t>934117903-4061</t>
  </si>
  <si>
    <t>934117903-3965</t>
  </si>
  <si>
    <t>934117903-3972</t>
  </si>
  <si>
    <t>934117903-3988</t>
  </si>
  <si>
    <t>934117903-3996</t>
  </si>
  <si>
    <t>934117903-4009</t>
  </si>
  <si>
    <t>934117903-4016</t>
  </si>
  <si>
    <t>934117903-4023</t>
  </si>
  <si>
    <t>934117903-4030</t>
  </si>
  <si>
    <t>934117903-4047</t>
  </si>
  <si>
    <t>934117903-0391</t>
  </si>
  <si>
    <t>TRUEWAY INTERNATIONAL PTY LTD</t>
    <phoneticPr fontId="8" type="noConversion"/>
  </si>
  <si>
    <t>ABN 94123627663</t>
    <phoneticPr fontId="4" type="noConversion"/>
  </si>
  <si>
    <t>Unit 1, 8 Wainwright Rd, Mount Druitt NSW 2770</t>
    <phoneticPr fontId="4" type="noConversion"/>
  </si>
  <si>
    <t xml:space="preserve">Unit Demission
L*W*H (mm) </t>
  </si>
  <si>
    <t>Unint Net Weight With Primary Package (kg)</t>
  </si>
  <si>
    <t>Shipping QTY / Box (Units)</t>
  </si>
  <si>
    <t>Shipping GW / Box (kg)</t>
  </si>
  <si>
    <t xml:space="preserve">Shipping Box Dmission 
L*W*H (mm) </t>
  </si>
  <si>
    <t>Shipping Box Volumn (M3)</t>
  </si>
  <si>
    <t>QTY / Medium Box (Units)</t>
  </si>
  <si>
    <t>GW / Medium Box  (kg)</t>
  </si>
  <si>
    <t xml:space="preserve">Medium Box Dmission
LxWxH (mm) </t>
  </si>
  <si>
    <t>Medium Box Volumn (M3)</t>
  </si>
  <si>
    <t>50*37*200</t>
  </si>
  <si>
    <t>310*220*210</t>
  </si>
  <si>
    <t>81*40*150</t>
  </si>
  <si>
    <t>330*220*160</t>
  </si>
  <si>
    <t>68*68*203</t>
  </si>
  <si>
    <t>330*225*220</t>
  </si>
  <si>
    <t>130*33*133</t>
  </si>
  <si>
    <t>300*250*410</t>
  </si>
  <si>
    <t>192*93</t>
  </si>
  <si>
    <t>29*29*82</t>
  </si>
  <si>
    <t>48*48*205</t>
  </si>
  <si>
    <t>50*50*158</t>
  </si>
  <si>
    <t>44*44*158</t>
  </si>
  <si>
    <t>50*50*116</t>
  </si>
  <si>
    <t>40*31*97</t>
  </si>
  <si>
    <t>44*44*52</t>
  </si>
  <si>
    <t>44*44*130</t>
  </si>
  <si>
    <t>58*58*51</t>
  </si>
  <si>
    <t>48*48*38</t>
  </si>
  <si>
    <t>43*26*160</t>
  </si>
  <si>
    <t>63*32*160</t>
  </si>
  <si>
    <t>80*58</t>
  </si>
  <si>
    <t>61*20*64</t>
  </si>
  <si>
    <t>30*19*60</t>
  </si>
  <si>
    <t>65*32*111</t>
  </si>
  <si>
    <t>330*270*270</t>
  </si>
  <si>
    <t>137*110*117</t>
  </si>
  <si>
    <t>132*122*125</t>
  </si>
  <si>
    <t>63*36*119</t>
  </si>
  <si>
    <t>53*14*93</t>
  </si>
  <si>
    <t>24*24*58</t>
  </si>
  <si>
    <t>192*145*77</t>
  </si>
  <si>
    <t>26*26*68</t>
  </si>
  <si>
    <t>193*146*77</t>
  </si>
  <si>
    <t>34*34*83</t>
  </si>
  <si>
    <t>182*112*97</t>
  </si>
  <si>
    <t>45*45*121</t>
  </si>
  <si>
    <t>43*43*158</t>
  </si>
  <si>
    <r>
      <t xml:space="preserve">DELICIOUS TOOTHPASTE </t>
    </r>
    <r>
      <rPr>
        <i/>
        <sz val="9"/>
        <rFont val="Arial"/>
        <family val="2"/>
      </rPr>
      <t>(Certified by ACO &amp; OFC)</t>
    </r>
  </si>
  <si>
    <t>ROSE ROMANCE HAIR &amp; BODY CARE (Certified by OFC)</t>
  </si>
  <si>
    <t>BIO-ACTIVE REMEDIES HAIR CARE (Certified by OFC)</t>
  </si>
  <si>
    <t>ORGANIC FAMILY HAIR &amp; BODY CARE (Certified by OFC)</t>
  </si>
  <si>
    <t>ROSE SKIN CARE (Certified by OFC - more than 95% of the product)</t>
  </si>
  <si>
    <t>934117903-0360</t>
  </si>
  <si>
    <r>
      <t>DELICIOUS TOOTHPASTE</t>
    </r>
    <r>
      <rPr>
        <i/>
        <sz val="12"/>
        <rFont val="宋体"/>
        <family val="1"/>
        <charset val="134"/>
      </rPr>
      <t xml:space="preserve"> (Certified by ACO &amp; OFC)</t>
    </r>
  </si>
  <si>
    <r>
      <t xml:space="preserve">100% CERTIFIED ORGANIC PURE ESSENTIAL OIL </t>
    </r>
    <r>
      <rPr>
        <i/>
        <sz val="12"/>
        <rFont val="宋体"/>
        <family val="2"/>
        <charset val="134"/>
      </rPr>
      <t>(Certified Organic by ACO)</t>
    </r>
  </si>
  <si>
    <r>
      <t xml:space="preserve">100% CERTIFIED ORGANIC PURE CARRIER OIL </t>
    </r>
    <r>
      <rPr>
        <i/>
        <sz val="12"/>
        <rFont val="宋体"/>
        <family val="2"/>
        <charset val="134"/>
      </rPr>
      <t>(Certified Organic by ACO)</t>
    </r>
  </si>
  <si>
    <r>
      <t xml:space="preserve">100% CERTIFIED ORGANIC - 3% ESSENTIAL OIL IN JOJOBA OIL </t>
    </r>
    <r>
      <rPr>
        <i/>
        <sz val="12"/>
        <rFont val="宋体"/>
        <family val="2"/>
        <charset val="134"/>
      </rPr>
      <t>(Certified Organic by ACO)</t>
    </r>
  </si>
  <si>
    <r>
      <t xml:space="preserve">100% CERTIFIED ORGANIC HYDROSOL </t>
    </r>
    <r>
      <rPr>
        <i/>
        <sz val="12"/>
        <rFont val="宋体"/>
        <family val="2"/>
        <charset val="134"/>
      </rPr>
      <t>(Certified Organic by ACO)</t>
    </r>
  </si>
  <si>
    <r>
      <t xml:space="preserve">100% CERTIFIED ORGANIC MASSAGE OIL </t>
    </r>
    <r>
      <rPr>
        <i/>
        <sz val="12"/>
        <rFont val="宋体"/>
        <family val="2"/>
        <charset val="134"/>
      </rPr>
      <t>(Certified Organic by ACO)</t>
    </r>
  </si>
  <si>
    <r>
      <t xml:space="preserve">100% CERTIFIED ORGANIC ESSENTIAL OIL BLEND </t>
    </r>
    <r>
      <rPr>
        <i/>
        <sz val="12"/>
        <rFont val="宋体"/>
        <family val="2"/>
        <charset val="134"/>
      </rPr>
      <t>(Certified Organic by ACO)</t>
    </r>
  </si>
  <si>
    <t>CALMING HERBS TOOTHPASTE 130g</t>
  </si>
  <si>
    <r>
      <t>HANDMADE SOAP</t>
    </r>
    <r>
      <rPr>
        <b/>
        <i/>
        <sz val="9"/>
        <rFont val="Garamond Premr Pro"/>
        <family val="1"/>
      </rPr>
      <t xml:space="preserve">  </t>
    </r>
    <r>
      <rPr>
        <i/>
        <sz val="9"/>
        <rFont val="Garamond Premr Pro"/>
        <family val="1"/>
      </rPr>
      <t>(Certified by ACO)</t>
    </r>
  </si>
  <si>
    <t>934117903-5983</t>
  </si>
  <si>
    <t>PHS01</t>
  </si>
  <si>
    <t>ALOE &amp; CHAMOMILE SOAP 100g</t>
  </si>
  <si>
    <t>100g</t>
  </si>
  <si>
    <t>934117903-5990</t>
  </si>
  <si>
    <t>PHS02</t>
  </si>
  <si>
    <t>HONEY &amp; OATMEAL SOAP 100g</t>
  </si>
  <si>
    <t>934117903-6003</t>
  </si>
  <si>
    <t>PHS03</t>
  </si>
  <si>
    <t>ROSE GERANIUM SOAP 100g</t>
  </si>
  <si>
    <t>934117903-6010</t>
  </si>
  <si>
    <t>PHS04</t>
  </si>
  <si>
    <t>LAVENDER SOAP 100g</t>
  </si>
  <si>
    <t>934117903-6027</t>
  </si>
  <si>
    <t>PHS05</t>
  </si>
  <si>
    <t>YLANG YLANG SOAP 100g</t>
  </si>
  <si>
    <t>100% CERTIFIED ORGANIC ORGANIC PROTECTION</t>
  </si>
  <si>
    <t>934117903-1817</t>
  </si>
  <si>
    <t>AOP01</t>
  </si>
  <si>
    <t>CALM &amp; RELAX ROLL-ON 14ml</t>
  </si>
  <si>
    <t>28*28*93</t>
  </si>
  <si>
    <t>934117903-1824</t>
  </si>
  <si>
    <t>AOP02</t>
  </si>
  <si>
    <t>ENERGY &amp; STRESS FREE ROLL-ON 14ml</t>
  </si>
  <si>
    <t>934117903-1831</t>
  </si>
  <si>
    <t>AOP03</t>
  </si>
  <si>
    <t>ORGANIC HERBAL BALM 18.5g</t>
  </si>
  <si>
    <t>18.5g</t>
  </si>
  <si>
    <t>80*68*33</t>
  </si>
  <si>
    <t>80*68*34</t>
  </si>
  <si>
    <t>80*68*35</t>
  </si>
  <si>
    <t>80*68*36</t>
  </si>
  <si>
    <t>80*68*37</t>
  </si>
  <si>
    <t>t +61 2 8604 7000    enquire@trueway.net.au</t>
  </si>
  <si>
    <t>www.ausganica.com.au</t>
  </si>
  <si>
    <r>
      <t>ROSE ROMANCE HAIR &amp; BODY CARE</t>
    </r>
    <r>
      <rPr>
        <i/>
        <sz val="9"/>
        <rFont val="Arial"/>
        <family val="2"/>
      </rPr>
      <t xml:space="preserve"> (Certified by OFC)</t>
    </r>
  </si>
  <si>
    <r>
      <t>HANDMADE SOAP</t>
    </r>
    <r>
      <rPr>
        <b/>
        <i/>
        <sz val="9"/>
        <rFont val="Arial"/>
        <family val="2"/>
      </rPr>
      <t xml:space="preserve">  </t>
    </r>
    <r>
      <rPr>
        <i/>
        <sz val="9"/>
        <rFont val="Arial"/>
        <family val="2"/>
      </rPr>
      <t>(Certified by ACO)</t>
    </r>
  </si>
  <si>
    <r>
      <t xml:space="preserve">BIO-ACTIVE REMEDIES HAIR CARE </t>
    </r>
    <r>
      <rPr>
        <i/>
        <sz val="9"/>
        <rFont val="Arial"/>
        <family val="2"/>
      </rPr>
      <t>(Certified by OFC)</t>
    </r>
  </si>
  <si>
    <r>
      <t>ORGANIC FAMILY HAIR &amp; BODY CARE</t>
    </r>
    <r>
      <rPr>
        <i/>
        <sz val="9"/>
        <rFont val="Arial"/>
        <family val="2"/>
      </rPr>
      <t xml:space="preserve"> (Certified by OFC)</t>
    </r>
  </si>
  <si>
    <r>
      <t xml:space="preserve">ROSE SKIN CARE </t>
    </r>
    <r>
      <rPr>
        <i/>
        <sz val="9"/>
        <rFont val="Arial"/>
        <family val="2"/>
      </rPr>
      <t>(Certified by OFC - more than 95% of the product)</t>
    </r>
  </si>
  <si>
    <t xml:space="preserve">    </t>
  </si>
  <si>
    <t xml:space="preserve">BASIL OIL TESTER 2ml </t>
  </si>
  <si>
    <t xml:space="preserve">BERGAMOT OIL BERGAPTENE FREE TESTER 2ml </t>
  </si>
  <si>
    <t xml:space="preserve">BLACK PEPPER OIL TESTER 2ml </t>
  </si>
  <si>
    <t xml:space="preserve">CEDARWOOD ATLAS OIL TESTER 2ml </t>
  </si>
  <si>
    <t xml:space="preserve">CINNAMON BARK OIL TESTER 2ml </t>
  </si>
  <si>
    <t xml:space="preserve">CINNAMON LEAF OIL TESTER 2ml </t>
  </si>
  <si>
    <t xml:space="preserve">CITRONELLA OIL TESTER 2ml </t>
  </si>
  <si>
    <t xml:space="preserve">CLARY SAGE OIL TESTER 2ml </t>
  </si>
  <si>
    <t xml:space="preserve">CLOVE BUD OIL TESTER 2ml </t>
  </si>
  <si>
    <t xml:space="preserve">CYPRESS OIL TESTER 2ml </t>
  </si>
  <si>
    <t xml:space="preserve">EUCALYPTUS RADIATA OIL TESTER 2ml </t>
  </si>
  <si>
    <t xml:space="preserve">FENNEL SWEET OIL TESTER 2ml </t>
  </si>
  <si>
    <t xml:space="preserve">GERANIUM OIL TESTER 2ml </t>
  </si>
  <si>
    <t xml:space="preserve">GINGER OIL TESTER 2ml </t>
  </si>
  <si>
    <t xml:space="preserve">GRAPEFRUIT PINK OIL TESTER 2ml </t>
  </si>
  <si>
    <t xml:space="preserve">JUNIPERBERRY OIL TESTER 2ml </t>
  </si>
  <si>
    <t xml:space="preserve">LAVANDIN OIL TESTER 2ml </t>
  </si>
  <si>
    <t xml:space="preserve">LAVENDER OIL TESTER 2ml </t>
  </si>
  <si>
    <t xml:space="preserve">LAVENDER SPIKE OIL TESTER 2ml </t>
  </si>
  <si>
    <t xml:space="preserve">LEMON MYRTLE OIL TESTER 2ml </t>
  </si>
  <si>
    <t xml:space="preserve">LEMON OIL TESTER 2ml </t>
  </si>
  <si>
    <t xml:space="preserve">LEMON SCENTED TEA TREE OIL TESTER 2ml </t>
  </si>
  <si>
    <t xml:space="preserve">LEMONGRASS OIL TESTER 2ml </t>
  </si>
  <si>
    <t xml:space="preserve">LIME COLD PRESSED OIL TESTER 2ml </t>
  </si>
  <si>
    <t xml:space="preserve">MANDARIN RED OIL TESTER 2ml </t>
  </si>
  <si>
    <t xml:space="preserve">MARJORAM SWEET OIL TESTER 2ml </t>
  </si>
  <si>
    <t xml:space="preserve">MAY CHANG OIL TESTER 2ml </t>
  </si>
  <si>
    <t xml:space="preserve">NIAOULI OIL TESTER 2ml </t>
  </si>
  <si>
    <t xml:space="preserve">NUTMEG OIL TESTER 2ml </t>
  </si>
  <si>
    <t xml:space="preserve">ORANGE SWEET OIL TESTER 2ml </t>
  </si>
  <si>
    <t xml:space="preserve">PALMAROSA OIL TESTER 2ml </t>
  </si>
  <si>
    <t xml:space="preserve">PATCHOULI OIL TESTER 2ml </t>
  </si>
  <si>
    <t xml:space="preserve">PEPPERMINT OIL TESTER 2ml </t>
  </si>
  <si>
    <t xml:space="preserve">PETITGRAIN BIGARADE OIL TESTER 2ml </t>
  </si>
  <si>
    <t xml:space="preserve">PINE SCOTCH OIL TESTER 2ml </t>
  </si>
  <si>
    <t xml:space="preserve">RAVENSARA OIL TESTER 2ml </t>
  </si>
  <si>
    <t xml:space="preserve">ROSALINA OIL TESTER 2ml </t>
  </si>
  <si>
    <t xml:space="preserve">ROSEMARY OIL TESTER 2ml </t>
  </si>
  <si>
    <t xml:space="preserve">SAGE OIL TESTER 2ml </t>
  </si>
  <si>
    <t xml:space="preserve">SPEARMINT OIL TESTER 2ml </t>
  </si>
  <si>
    <t xml:space="preserve">TEA TREE OIL TESTER 2ml </t>
  </si>
  <si>
    <t xml:space="preserve">THYME OIL TESTER 2ml </t>
  </si>
  <si>
    <t xml:space="preserve">VETIVER OIL TESTER 2ml </t>
  </si>
  <si>
    <t xml:space="preserve">WINTERGREEN OIL TESTER 2ml </t>
  </si>
  <si>
    <t xml:space="preserve">YLANG YLANG COMPLETE OIL TESTER 2ml </t>
  </si>
  <si>
    <t xml:space="preserve">NEROLI OIL TESTER 0.1ml </t>
  </si>
  <si>
    <t xml:space="preserve">ROSE OTTO OIL TESTER 0.1ml </t>
  </si>
  <si>
    <t xml:space="preserve">SANDALWOOD PREMIUM OIL TESTER 0.1ml </t>
  </si>
  <si>
    <t xml:space="preserve">JASMINE OIL TESTER 0.1ml </t>
  </si>
  <si>
    <t xml:space="preserve">IMMORTELLE OIL TESTER 0.1ml </t>
  </si>
  <si>
    <t xml:space="preserve">ALMOND SWEET OIL TESTER 2ml </t>
  </si>
  <si>
    <t xml:space="preserve">ARGAN OIL TESTER 2ml </t>
  </si>
  <si>
    <t xml:space="preserve">COCONUT OIL TESTER 2ml </t>
  </si>
  <si>
    <t xml:space="preserve">JOJOBA OIL TESTER 2ml </t>
  </si>
  <si>
    <t xml:space="preserve">ROSE HIP OIL TESTER 2ml </t>
  </si>
  <si>
    <t xml:space="preserve">3% CHAMOMILE GEMAN BLUE OIL TESTER 2ml </t>
  </si>
  <si>
    <t xml:space="preserve">3% IMMORTELLE OIL TESTER 2ml </t>
  </si>
  <si>
    <t xml:space="preserve">3% JASMINE OIL TESTER 2ml </t>
  </si>
  <si>
    <t xml:space="preserve">3% NEROLI OIL TESTER 2ml </t>
  </si>
  <si>
    <t xml:space="preserve">3% ROSE OTTO OIL TESTER 2ml </t>
  </si>
  <si>
    <t>LAVENDER HYDROSOL TESTERS 5ml</t>
  </si>
  <si>
    <t>ROSE OTTO HYDROSOL TESTERS 5ml</t>
  </si>
  <si>
    <t xml:space="preserve">BEAUTIFUL BUST OIL TESTER 5ml </t>
  </si>
  <si>
    <t xml:space="preserve">MUSCLE HEALTH OIL TESTER 5ml </t>
  </si>
  <si>
    <t xml:space="preserve">RELAXATION OIL TESTER 5ml </t>
  </si>
  <si>
    <t xml:space="preserve">SLIM and TRIM OIL TESTER 5ml </t>
  </si>
  <si>
    <t>DETOX &amp; STRESS FREE ESSENTIAL OIL BLEND TESTERS 2ml</t>
  </si>
  <si>
    <t>HAPPINESS &amp; ENERGY ESSENTIAL OIL BLEND TESTERS 2ml</t>
  </si>
  <si>
    <t>MUSCLE HEALTH ESSENTIAL OIL BLEND TESTERS 2ml</t>
  </si>
  <si>
    <t>PURIFYING &amp; HEALTH ESSENTIAL OIL BLEND TESTERS 2ml</t>
  </si>
  <si>
    <t>RELAXATION ESSENTIAL OIL BLEND TESTERS 2ml</t>
  </si>
  <si>
    <t>ROSE SHAMPOO SACHET 10ml</t>
  </si>
  <si>
    <t>ROOT STRENGTH SHAMPOO SACHET 10ml</t>
  </si>
  <si>
    <t>FLAKE WAIVER SHAMPOO SACHET 10ml</t>
  </si>
  <si>
    <t>ROSE GERANIUM NOURISHING SHAMPOO SACHET 10ml</t>
  </si>
  <si>
    <t>LAVENDER SOOTHING SHAMPOO SACHET 10ml</t>
  </si>
  <si>
    <t>LITSEA CUBEBA VOLUMIZING SHAMPOO SACHET 10ml</t>
  </si>
  <si>
    <t>LEMON MYRTLE PURIFYING SHAMPOO SACHET 10ml</t>
  </si>
  <si>
    <t>TAEO001</t>
  </si>
  <si>
    <t>TAEO002</t>
  </si>
  <si>
    <t>TAEO003</t>
  </si>
  <si>
    <t>TAEO004</t>
  </si>
  <si>
    <t>TAEO005</t>
  </si>
  <si>
    <t>TAEO006</t>
  </si>
  <si>
    <t>TAEO007</t>
  </si>
  <si>
    <t>TAEO008</t>
  </si>
  <si>
    <t>TAEO009</t>
  </si>
  <si>
    <t>TAEO010</t>
  </si>
  <si>
    <t>TAEO011</t>
  </si>
  <si>
    <t>TAEO012</t>
  </si>
  <si>
    <t>TAEO013</t>
  </si>
  <si>
    <t>TAEO014</t>
  </si>
  <si>
    <t>TAEO015</t>
  </si>
  <si>
    <t>TAEO016</t>
  </si>
  <si>
    <t>TAEO017</t>
  </si>
  <si>
    <t>TAEO018</t>
  </si>
  <si>
    <t>TAEO019</t>
  </si>
  <si>
    <t>TAEO020</t>
  </si>
  <si>
    <t>TAEO021</t>
  </si>
  <si>
    <t>TAEO022</t>
  </si>
  <si>
    <t>TAEO023</t>
  </si>
  <si>
    <t>TAEO024</t>
  </si>
  <si>
    <t>TAEO025</t>
  </si>
  <si>
    <t>TAEO026</t>
  </si>
  <si>
    <t>TAEO027</t>
  </si>
  <si>
    <t>TAEO028</t>
  </si>
  <si>
    <t>TAEO029</t>
  </si>
  <si>
    <t>TAEO030</t>
  </si>
  <si>
    <t>TAEO031</t>
  </si>
  <si>
    <t>TAEO032</t>
  </si>
  <si>
    <t>TAEO033</t>
  </si>
  <si>
    <t>TAEO034</t>
  </si>
  <si>
    <t>TAEO035</t>
  </si>
  <si>
    <t>TAEO036</t>
  </si>
  <si>
    <t>TAEO037</t>
  </si>
  <si>
    <t>TAEO038</t>
  </si>
  <si>
    <t>TAEO039</t>
  </si>
  <si>
    <t>TAEO040</t>
  </si>
  <si>
    <t>TAEO041</t>
  </si>
  <si>
    <t>TAEO042</t>
  </si>
  <si>
    <t>TAEO043</t>
  </si>
  <si>
    <t>TAEO044</t>
  </si>
  <si>
    <t>TAEO045</t>
  </si>
  <si>
    <t>TAEO046</t>
  </si>
  <si>
    <t>TAEO047</t>
  </si>
  <si>
    <t>TAEO048</t>
  </si>
  <si>
    <t>TAEO049</t>
  </si>
  <si>
    <t>TAEO050</t>
  </si>
  <si>
    <t>TAEO051</t>
  </si>
  <si>
    <t>TAEO052</t>
  </si>
  <si>
    <t>TAEO053</t>
  </si>
  <si>
    <t>TAEO054</t>
  </si>
  <si>
    <t>TAEO055</t>
  </si>
  <si>
    <t>TAEO056</t>
  </si>
  <si>
    <t>TACO001</t>
  </si>
  <si>
    <t>TACO002</t>
  </si>
  <si>
    <t>TACO003</t>
  </si>
  <si>
    <t>TACO004</t>
  </si>
  <si>
    <t>TACO005</t>
  </si>
  <si>
    <t>TAE3001</t>
  </si>
  <si>
    <t>TAE3002</t>
  </si>
  <si>
    <t>TAE3003</t>
  </si>
  <si>
    <t>TAE3004</t>
  </si>
  <si>
    <t>TAE3005</t>
  </si>
  <si>
    <t>TODT02</t>
  </si>
  <si>
    <t>SHRR01</t>
  </si>
  <si>
    <t>SHBR01</t>
  </si>
  <si>
    <t>SHBR04</t>
  </si>
  <si>
    <t>SHOF01</t>
  </si>
  <si>
    <t>SHOF05</t>
  </si>
  <si>
    <t>SHOF09</t>
  </si>
  <si>
    <t>TAMO001</t>
  </si>
  <si>
    <t>TAMO002</t>
  </si>
  <si>
    <t>TAMO003</t>
  </si>
  <si>
    <t>TAMO004</t>
  </si>
  <si>
    <t>TAEOB001</t>
  </si>
  <si>
    <t>TAEOB002</t>
  </si>
  <si>
    <t>TAEOB003</t>
  </si>
  <si>
    <t>TAEOB004</t>
  </si>
  <si>
    <t>TAEOB005</t>
  </si>
  <si>
    <t>TAHD003</t>
  </si>
  <si>
    <t>TAHD004</t>
  </si>
  <si>
    <t xml:space="preserve">CHAMOMILE GERMAN BLUE OIL TESTER 0.1ml </t>
  </si>
  <si>
    <t xml:space="preserve">CHAMOMILE ROMAN OIL TESTER 0.1ml </t>
  </si>
  <si>
    <t xml:space="preserve">FRANKINCENSE OIL TESTER 0.1ml </t>
  </si>
  <si>
    <t xml:space="preserve">SANDALWOOD OIL TESTER 0.1ml </t>
  </si>
  <si>
    <t xml:space="preserve">VANILLA OLEORESIN TESTER 0.1ml </t>
  </si>
  <si>
    <t xml:space="preserve">YARROW OIL TESTER 0.1ml </t>
  </si>
  <si>
    <t>SSRS06</t>
  </si>
  <si>
    <t>SSRS07</t>
  </si>
  <si>
    <t>SSRS08</t>
  </si>
  <si>
    <t>ROSE ELIXIR SACHET 3ml</t>
  </si>
  <si>
    <t>ROSE FACIAL CREAM SACHET 3g</t>
  </si>
  <si>
    <t>3g</t>
  </si>
  <si>
    <t>55*55</t>
  </si>
  <si>
    <t>19*19*95</t>
  </si>
  <si>
    <t>55*110</t>
  </si>
  <si>
    <t>Ausganica Kit Essential Oil Starter 10ml x 40 Pack (Including Testers)</t>
  </si>
  <si>
    <t>AEOC</t>
    <phoneticPr fontId="12" type="noConversion"/>
  </si>
  <si>
    <t>10ml x 40</t>
    <phoneticPr fontId="12" type="noConversion"/>
  </si>
  <si>
    <t>300(W) * 250(D) * 205(H) + 20cm(H for the insert panel).</t>
  </si>
  <si>
    <t>320*225*260</t>
  </si>
  <si>
    <t>40 + 20 testers</t>
  </si>
  <si>
    <t>SHOF11</t>
  </si>
  <si>
    <t>BRIGHT MINT TOOTHPASTE TESTERS  18.5g</t>
  </si>
  <si>
    <t>3ml</t>
  </si>
  <si>
    <t>ROSE EMULSION SACHET 3ml</t>
  </si>
  <si>
    <r>
      <t>SACHET &amp; TESTERS (</t>
    </r>
    <r>
      <rPr>
        <b/>
        <sz val="9"/>
        <color rgb="FFFF0000"/>
        <rFont val="Arial"/>
        <family val="2"/>
      </rPr>
      <t xml:space="preserve">minimum order size required and </t>
    </r>
    <r>
      <rPr>
        <b/>
        <sz val="12"/>
        <color rgb="FFFF0000"/>
        <rFont val="Arial"/>
        <family val="2"/>
      </rPr>
      <t>subject to availability</t>
    </r>
    <r>
      <rPr>
        <b/>
        <sz val="9"/>
        <rFont val="Arial"/>
        <family val="2"/>
      </rPr>
      <t>)</t>
    </r>
  </si>
  <si>
    <t>934117903-4689</t>
  </si>
  <si>
    <t>AEO184</t>
  </si>
  <si>
    <t>BASIL CT CHAVICOL OIL  5ml</t>
  </si>
  <si>
    <t>934117903-4702</t>
  </si>
  <si>
    <t>AEO185</t>
  </si>
  <si>
    <t>BASIL CT CHAVICOL OIL  10ml</t>
  </si>
  <si>
    <t>934117903-4887</t>
  </si>
  <si>
    <t>AEO203</t>
  </si>
  <si>
    <t>EUCALYPTUS BLUE MALLEE OIL  5ml</t>
  </si>
  <si>
    <t>934117903-4894</t>
  </si>
  <si>
    <t>AEO204</t>
  </si>
  <si>
    <t>EUCALYPTUS BLUE MALLEE OIL  10ml</t>
  </si>
  <si>
    <t>934117903-4924</t>
  </si>
  <si>
    <t>AEO207</t>
  </si>
  <si>
    <t>EUCALYPTUS CITRIODORA OIL 5ml</t>
  </si>
  <si>
    <t>934117903-4931</t>
  </si>
  <si>
    <t>AEO208</t>
  </si>
  <si>
    <t>EUCALYPTUS CITRIODORA OIL 10ml</t>
  </si>
  <si>
    <t>934117903-4962</t>
  </si>
  <si>
    <t>AEO211</t>
  </si>
  <si>
    <t>EUCALYPTUS GLOBULUS OIL 5ml</t>
  </si>
  <si>
    <t>934117903-4979</t>
  </si>
  <si>
    <t>AEO212</t>
  </si>
  <si>
    <t>EUCALYPTUS GLOBULUS OIL 10ml</t>
  </si>
  <si>
    <t>934117903-5068</t>
  </si>
  <si>
    <t>AEO221</t>
  </si>
  <si>
    <t>FRANKINCENSE OIL - SERRATA 5ml</t>
  </si>
  <si>
    <t>934117903-5075</t>
  </si>
  <si>
    <t>AEO222</t>
  </si>
  <si>
    <t>FRANKINCENSE OIL - SERRATA 10ml</t>
  </si>
  <si>
    <t>934117903-5082</t>
  </si>
  <si>
    <t>AEO223</t>
  </si>
  <si>
    <t>HOLY BASIL OIL 5ml</t>
  </si>
  <si>
    <t>934117903-5099</t>
  </si>
  <si>
    <t>AEO224</t>
  </si>
  <si>
    <t>HOLY BASIL OIL 10ml</t>
  </si>
  <si>
    <t>934117903-5198</t>
  </si>
  <si>
    <t>AEO234</t>
  </si>
  <si>
    <t>MYRTLE OIL  5ml</t>
  </si>
  <si>
    <t>934117903-5204</t>
  </si>
  <si>
    <t>AEO235</t>
  </si>
  <si>
    <t>MYRTLE OIL  10ml</t>
  </si>
  <si>
    <t>934117903-5334</t>
  </si>
  <si>
    <t>AEO248</t>
  </si>
  <si>
    <t>PINE DOUGLAS OIL 5ml</t>
  </si>
  <si>
    <t>934117903-5341</t>
  </si>
  <si>
    <t>AEO249</t>
  </si>
  <si>
    <t>PINE DOUGLAS OIL 10ml</t>
  </si>
  <si>
    <t>934117903-5402</t>
  </si>
  <si>
    <t>AEO255</t>
  </si>
  <si>
    <t>ST JOHNS WORT OIL 2ml</t>
  </si>
  <si>
    <t>934117903-5419</t>
  </si>
  <si>
    <t>AEO256</t>
  </si>
  <si>
    <t>ST JOHNS WORT OIL 5ml</t>
  </si>
  <si>
    <t>934117903-5426</t>
  </si>
  <si>
    <t>AEO257</t>
  </si>
  <si>
    <t>ST JOHNS WORT OIL 10ml</t>
  </si>
  <si>
    <t>934117903-5471</t>
  </si>
  <si>
    <t>AEO262</t>
  </si>
  <si>
    <t>THYME RED OIL 5ml</t>
  </si>
  <si>
    <t>934117903-5488</t>
  </si>
  <si>
    <t>AEO263</t>
  </si>
  <si>
    <t>THYME RED OIL 10ml</t>
  </si>
  <si>
    <t>934117903-5723</t>
  </si>
  <si>
    <t>AHD05</t>
  </si>
  <si>
    <t>CHAMOMILE GERMAN HYDROSOL 125ml</t>
  </si>
  <si>
    <t>934117903-5730</t>
  </si>
  <si>
    <t>AHD06</t>
  </si>
  <si>
    <t>EUCALYPTUS RADIATA HYDROSOL 125ml</t>
  </si>
  <si>
    <t>934117903-5747</t>
  </si>
  <si>
    <t>AHD07</t>
  </si>
  <si>
    <t>LEMON SCENTED TEA TREE HYDROSOL 125ml</t>
  </si>
  <si>
    <t>934117903-5617</t>
  </si>
  <si>
    <t>ACO14</t>
  </si>
  <si>
    <t>APRICOT KERNEL VIRGIN OIL 100ml</t>
  </si>
  <si>
    <t>934117903-5624</t>
  </si>
  <si>
    <t>ACO15</t>
  </si>
  <si>
    <t>BORAGE VIRGIN OIL 100ml</t>
  </si>
  <si>
    <t>934117903-5631</t>
  </si>
  <si>
    <t>ACO16</t>
  </si>
  <si>
    <t>EVENING PRIMROSE VIRGIN OIL 100ml</t>
  </si>
  <si>
    <t>934117903-5648</t>
  </si>
  <si>
    <t>ACO17</t>
  </si>
  <si>
    <t>GRAPESEED PURE OIL 100ml</t>
  </si>
  <si>
    <t>934117903-5655</t>
  </si>
  <si>
    <t>ACO18</t>
  </si>
  <si>
    <t>HEMP SEED VIRGIN OIL 100ml</t>
  </si>
  <si>
    <t>934117903-5662</t>
  </si>
  <si>
    <t>ACO19</t>
  </si>
  <si>
    <t>MARULA OIL 30ml</t>
  </si>
  <si>
    <t>934117903-5679</t>
  </si>
  <si>
    <t>ACO20</t>
  </si>
  <si>
    <t>MARULA OIL 100ml</t>
  </si>
  <si>
    <t>934117903-5686</t>
  </si>
  <si>
    <t>ACO21</t>
  </si>
  <si>
    <t>SEABUCKTHORN PULP CO2 EXTRACT 30ml</t>
  </si>
  <si>
    <t>934117903-5693</t>
  </si>
  <si>
    <t>ACO22</t>
  </si>
  <si>
    <t>SEABUCKTHORN PULP CO2 EXTRACT 100ml</t>
  </si>
  <si>
    <t>934117903-5709</t>
  </si>
  <si>
    <t>ACO23</t>
  </si>
  <si>
    <t>TAMANU OIL 30ml</t>
  </si>
  <si>
    <t>934117903-5716</t>
  </si>
  <si>
    <t>ACO24</t>
  </si>
  <si>
    <t>TAMANU OIL 100ml</t>
  </si>
  <si>
    <t>WHOLESALE CATALOGUE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</si>
</sst>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&quot;$&quot;#,##0.00;[Red]\-&quot;$&quot;#,##0.00"/>
    <numFmt numFmtId="41" formatCode="_-* #,##0_-;\-* #,##0_-;_-* &quot;-&quot;_-;_-@_-"/>
    <numFmt numFmtId="43" formatCode="_-* #,##0.00_-;\-* #,##0.00_-;_-* &quot;-&quot;??_-;_-@_-"/>
    <numFmt numFmtId="164" formatCode="###&quot;ml&quot;"/>
    <numFmt numFmtId="165" formatCode="0.000_ "/>
    <numFmt numFmtId="166" formatCode="_-* #,##0.0_-;\-* #,##0.0_-;_-* &quot;-&quot;??_-;_-@_-"/>
    <numFmt numFmtId="167" formatCode="&quot;$&quot;#,##0.00"/>
    <numFmt numFmtId="168" formatCode="0.0%"/>
    <numFmt numFmtId="169" formatCode="&quot;$&quot;#,##0.00_);[Red]\(&quot;$&quot;#,##0.00\)"/>
    <numFmt numFmtId="170" formatCode="General&quot;ml&quot;"/>
    <numFmt numFmtId="171" formatCode="0.00;_ꐁ"/>
    <numFmt numFmtId="172" formatCode="_ * #,##0.00_ ;_ * \-#,##0.00_ ;_ * &quot;-&quot;??_ ;_ @_ "/>
    <numFmt numFmtId="173" formatCode="_-* #,##0.00_-;\-* #,##0.00_-;_-* &quot;-&quot;_-;_-@_-"/>
    <numFmt numFmtId="174" formatCode="#&quot;ml&quot;"/>
    <numFmt numFmtId="175" formatCode="#,##0\ ;\-#,##0\ ;&quot; - &quot;;@\ "/>
    <numFmt numFmtId="176" formatCode="#,##0.0\ ;&quot; (&quot;#,##0.0\);&quot; -&quot;#\ ;@\ "/>
    <numFmt numFmtId="177" formatCode="General&quot;g&quot;"/>
    <numFmt numFmtId="178" formatCode="0.000"/>
  </numFmts>
  <fonts count="70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돋움"/>
      <family val="2"/>
      <charset val="129"/>
    </font>
    <font>
      <sz val="8"/>
      <name val="Arial"/>
      <family val="2"/>
    </font>
    <font>
      <b/>
      <sz val="12"/>
      <color indexed="58"/>
      <name val="Garamond Premr Pro"/>
      <family val="1"/>
    </font>
    <font>
      <sz val="9"/>
      <color indexed="58"/>
      <name val="Garamond Premr Pro"/>
      <family val="1"/>
    </font>
    <font>
      <sz val="9"/>
      <name val="Arial"/>
      <family val="2"/>
    </font>
    <font>
      <sz val="9"/>
      <name val="Garamond Premr Pro"/>
      <family val="1"/>
    </font>
    <font>
      <b/>
      <sz val="9"/>
      <name val="Arial"/>
      <family val="2"/>
    </font>
    <font>
      <b/>
      <sz val="9"/>
      <name val="Garamond Premr Pro"/>
      <family val="1"/>
    </font>
    <font>
      <b/>
      <sz val="13"/>
      <color indexed="58"/>
      <name val="Garamond Premr Pro"/>
      <family val="1"/>
    </font>
    <font>
      <b/>
      <sz val="28"/>
      <color indexed="58"/>
      <name val="Arial"/>
      <family val="2"/>
    </font>
    <font>
      <sz val="10"/>
      <color indexed="59"/>
      <name val="Garamond Premr Pro"/>
      <family val="1"/>
    </font>
    <font>
      <sz val="9"/>
      <color indexed="10"/>
      <name val="Arial"/>
      <family val="2"/>
    </font>
    <font>
      <b/>
      <sz val="10"/>
      <color indexed="9"/>
      <name val="Arial"/>
      <family val="2"/>
    </font>
    <font>
      <i/>
      <sz val="9"/>
      <name val="Arial"/>
      <family val="2"/>
    </font>
    <font>
      <b/>
      <sz val="9"/>
      <color indexed="9"/>
      <name val="Arial"/>
      <family val="2"/>
    </font>
    <font>
      <sz val="11"/>
      <name val="돋움"/>
      <family val="2"/>
      <charset val="129"/>
    </font>
    <font>
      <sz val="11"/>
      <color indexed="8"/>
      <name val="Calibri"/>
      <family val="2"/>
    </font>
    <font>
      <sz val="9"/>
      <color indexed="9"/>
      <name val="Arial"/>
      <family val="2"/>
    </font>
    <font>
      <sz val="14"/>
      <name val="Arial"/>
      <family val="2"/>
    </font>
    <font>
      <u/>
      <sz val="12"/>
      <color indexed="12"/>
      <name val="宋体"/>
      <charset val="134"/>
    </font>
    <font>
      <u/>
      <sz val="7.5"/>
      <color indexed="12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0"/>
      <name val="ＭＳ ゴシック"/>
      <family val="3"/>
      <charset val="255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Arial"/>
      <family val="2"/>
    </font>
    <font>
      <b/>
      <sz val="12"/>
      <color indexed="58"/>
      <name val="Garamond Premr Pro"/>
      <family val="1"/>
    </font>
    <font>
      <sz val="12"/>
      <name val="Arial"/>
      <family val="2"/>
    </font>
    <font>
      <sz val="15"/>
      <color indexed="58"/>
      <name val="Arial"/>
      <family val="2"/>
    </font>
    <font>
      <b/>
      <sz val="10"/>
      <name val="Arial"/>
      <family val="2"/>
    </font>
    <font>
      <sz val="12"/>
      <color indexed="58"/>
      <name val="Arial"/>
      <family val="2"/>
    </font>
    <font>
      <sz val="9"/>
      <name val="Arial"/>
      <family val="2"/>
    </font>
    <font>
      <sz val="9"/>
      <color indexed="58"/>
      <name val="Garamond Premr Pro"/>
      <family val="1"/>
    </font>
    <font>
      <b/>
      <sz val="9"/>
      <color indexed="9"/>
      <name val="Arial"/>
      <family val="2"/>
    </font>
    <font>
      <b/>
      <sz val="9"/>
      <color theme="4" tint="0.39997558519241921"/>
      <name val="Arial"/>
      <family val="2"/>
    </font>
    <font>
      <b/>
      <sz val="9"/>
      <color theme="5" tint="0.59999389629810485"/>
      <name val="Arial"/>
      <family val="2"/>
    </font>
    <font>
      <b/>
      <sz val="9"/>
      <name val="Garamond Premr Pro"/>
      <family val="1"/>
    </font>
    <font>
      <i/>
      <sz val="12"/>
      <name val="宋体"/>
      <family val="1"/>
      <charset val="134"/>
    </font>
    <font>
      <sz val="9"/>
      <name val="Garamond Premr Pro"/>
      <family val="1"/>
    </font>
    <font>
      <sz val="9"/>
      <name val="Garamond Premr Pro"/>
      <family val="1"/>
    </font>
    <font>
      <b/>
      <sz val="9"/>
      <name val="Arial"/>
      <family val="2"/>
    </font>
    <font>
      <i/>
      <sz val="12"/>
      <name val="宋体"/>
      <family val="2"/>
      <charset val="134"/>
    </font>
    <font>
      <b/>
      <i/>
      <sz val="9"/>
      <name val="Garamond Premr Pro"/>
      <family val="1"/>
    </font>
    <font>
      <i/>
      <sz val="9"/>
      <name val="Garamond Premr Pro"/>
      <family val="1"/>
    </font>
    <font>
      <sz val="9"/>
      <color theme="1"/>
      <name val="Garamond Premr Pro"/>
      <family val="1"/>
    </font>
    <font>
      <b/>
      <sz val="15"/>
      <color indexed="58"/>
      <name val="Arial"/>
      <family val="2"/>
    </font>
    <font>
      <b/>
      <i/>
      <sz val="9"/>
      <name val="Arial"/>
      <family val="2"/>
    </font>
    <font>
      <b/>
      <sz val="12"/>
      <color rgb="FFFF0000"/>
      <name val="Arial"/>
      <family val="2"/>
    </font>
    <font>
      <b/>
      <sz val="9"/>
      <color rgb="FFFF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8"/>
        <bgColor indexed="59"/>
      </patternFill>
    </fill>
    <fill>
      <patternFill patternType="solid">
        <fgColor indexed="42"/>
        <bgColor indexed="41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/>
      <bottom style="thin">
        <color indexed="55"/>
      </bottom>
      <diagonal/>
    </border>
    <border>
      <left style="thin">
        <color indexed="8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55"/>
      </top>
      <bottom style="thin">
        <color indexed="55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/>
      <right/>
      <top style="thin">
        <color indexed="55"/>
      </top>
      <bottom style="thin">
        <color indexed="64"/>
      </bottom>
      <diagonal/>
    </border>
    <border>
      <left style="thin">
        <color indexed="8"/>
      </left>
      <right/>
      <top style="thin">
        <color indexed="55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</borders>
  <cellStyleXfs count="62">
    <xf numFmtId="0" fontId="0" fillId="0" borderId="0">
      <alignment vertical="center"/>
    </xf>
    <xf numFmtId="0" fontId="27" fillId="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 applyFill="0"/>
    <xf numFmtId="0" fontId="21" fillId="0" borderId="0">
      <alignment vertical="center"/>
    </xf>
    <xf numFmtId="0" fontId="5" fillId="0" borderId="0"/>
    <xf numFmtId="0" fontId="5" fillId="0" borderId="0"/>
    <xf numFmtId="0" fontId="22" fillId="0" borderId="0"/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1" applyNumberFormat="0" applyAlignment="0" applyProtection="0">
      <alignment vertical="center"/>
    </xf>
    <xf numFmtId="0" fontId="31" fillId="0" borderId="0"/>
    <xf numFmtId="0" fontId="32" fillId="7" borderId="0" applyNumberFormat="0" applyBorder="0" applyAlignment="0" applyProtection="0">
      <alignment vertical="center"/>
    </xf>
    <xf numFmtId="0" fontId="27" fillId="4" borderId="4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1" borderId="2" applyNumberFormat="0" applyAlignment="0" applyProtection="0">
      <alignment vertical="center"/>
    </xf>
    <xf numFmtId="165" fontId="36" fillId="0" borderId="0">
      <alignment vertical="center"/>
    </xf>
    <xf numFmtId="0" fontId="37" fillId="0" borderId="3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9" fillId="3" borderId="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0" fontId="42" fillId="0" borderId="8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5" fillId="10" borderId="5" applyNumberFormat="0" applyAlignment="0" applyProtection="0">
      <alignment vertical="center"/>
    </xf>
    <xf numFmtId="0" fontId="21" fillId="0" borderId="0">
      <alignment vertical="center"/>
    </xf>
    <xf numFmtId="0" fontId="5" fillId="0" borderId="0" applyFill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</cellStyleXfs>
  <cellXfs count="463">
    <xf numFmtId="0" fontId="0" fillId="0" borderId="0" xfId="0">
      <alignment vertical="center"/>
    </xf>
    <xf numFmtId="0" fontId="12" fillId="0" borderId="10" xfId="0" applyFont="1" applyBorder="1">
      <alignment vertical="center"/>
    </xf>
    <xf numFmtId="0" fontId="3" fillId="0" borderId="0" xfId="0" applyFont="1">
      <alignment vertical="center"/>
    </xf>
    <xf numFmtId="0" fontId="15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14" fontId="5" fillId="0" borderId="11" xfId="0" applyNumberFormat="1" applyFont="1" applyBorder="1" applyAlignment="1" applyProtection="1">
      <alignment horizontal="center"/>
      <protection locked="0"/>
    </xf>
    <xf numFmtId="0" fontId="20" fillId="24" borderId="12" xfId="0" applyFont="1" applyFill="1" applyBorder="1" applyAlignment="1">
      <alignment horizontal="center" vertical="center"/>
    </xf>
    <xf numFmtId="0" fontId="20" fillId="24" borderId="12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43" fontId="11" fillId="0" borderId="0" xfId="19" applyFont="1" applyAlignment="1" applyProtection="1">
      <alignment vertical="center" wrapText="1"/>
      <protection locked="0"/>
    </xf>
    <xf numFmtId="0" fontId="1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19" applyNumberFormat="1" applyFont="1" applyAlignment="1">
      <alignment horizontal="center" vertical="center" wrapText="1"/>
    </xf>
    <xf numFmtId="167" fontId="12" fillId="0" borderId="0" xfId="19" applyNumberFormat="1" applyFont="1" applyAlignment="1">
      <alignment horizontal="center" vertical="center" wrapText="1"/>
    </xf>
    <xf numFmtId="169" fontId="11" fillId="0" borderId="14" xfId="19" applyNumberFormat="1" applyFont="1" applyBorder="1" applyAlignment="1" applyProtection="1">
      <alignment horizontal="center" vertical="center" wrapText="1"/>
      <protection locked="0"/>
    </xf>
    <xf numFmtId="169" fontId="11" fillId="0" borderId="16" xfId="19" applyNumberFormat="1" applyFont="1" applyBorder="1" applyAlignment="1" applyProtection="1">
      <alignment horizontal="center" vertical="center" wrapText="1"/>
      <protection locked="0"/>
    </xf>
    <xf numFmtId="169" fontId="11" fillId="0" borderId="18" xfId="19" applyNumberFormat="1" applyFont="1" applyBorder="1" applyAlignment="1" applyProtection="1">
      <alignment horizontal="center" vertical="center" wrapText="1"/>
      <protection locked="0"/>
    </xf>
    <xf numFmtId="0" fontId="11" fillId="0" borderId="13" xfId="19" applyNumberFormat="1" applyFont="1" applyBorder="1" applyAlignment="1" applyProtection="1">
      <alignment horizontal="left" vertical="center" wrapText="1"/>
      <protection locked="0"/>
    </xf>
    <xf numFmtId="0" fontId="11" fillId="0" borderId="20" xfId="19" applyNumberFormat="1" applyFont="1" applyBorder="1" applyAlignment="1" applyProtection="1">
      <alignment horizontal="left" vertical="center" wrapText="1"/>
      <protection locked="0"/>
    </xf>
    <xf numFmtId="0" fontId="11" fillId="0" borderId="21" xfId="19" applyNumberFormat="1" applyFont="1" applyBorder="1" applyAlignment="1" applyProtection="1">
      <alignment horizontal="left" vertical="center" wrapText="1"/>
      <protection locked="0"/>
    </xf>
    <xf numFmtId="0" fontId="11" fillId="0" borderId="0" xfId="19" applyNumberFormat="1" applyFont="1" applyAlignment="1" applyProtection="1">
      <alignment horizontal="center" vertical="center" wrapText="1"/>
      <protection locked="0"/>
    </xf>
    <xf numFmtId="0" fontId="11" fillId="0" borderId="0" xfId="29" applyFont="1" applyAlignment="1">
      <alignment horizontal="left" vertical="center"/>
    </xf>
    <xf numFmtId="166" fontId="11" fillId="0" borderId="0" xfId="19" applyNumberFormat="1" applyFont="1" applyAlignment="1">
      <alignment horizontal="right" vertical="center" wrapText="1"/>
    </xf>
    <xf numFmtId="43" fontId="11" fillId="0" borderId="0" xfId="29" applyNumberFormat="1" applyFont="1" applyAlignment="1">
      <alignment horizontal="right" vertical="center"/>
    </xf>
    <xf numFmtId="0" fontId="11" fillId="0" borderId="11" xfId="19" applyNumberFormat="1" applyFont="1" applyBorder="1" applyAlignment="1" applyProtection="1">
      <alignment horizontal="left" vertical="center" wrapText="1"/>
      <protection locked="0"/>
    </xf>
    <xf numFmtId="9" fontId="15" fillId="0" borderId="0" xfId="30" applyFont="1" applyAlignment="1">
      <alignment horizontal="right"/>
    </xf>
    <xf numFmtId="0" fontId="11" fillId="0" borderId="22" xfId="19" applyNumberFormat="1" applyFont="1" applyBorder="1" applyAlignment="1" applyProtection="1">
      <alignment horizontal="center" vertical="center" wrapText="1"/>
      <protection locked="0"/>
    </xf>
    <xf numFmtId="0" fontId="11" fillId="0" borderId="10" xfId="0" applyFont="1" applyBorder="1" applyAlignment="1">
      <alignment horizontal="left"/>
    </xf>
    <xf numFmtId="0" fontId="11" fillId="0" borderId="15" xfId="19" applyNumberFormat="1" applyFont="1" applyBorder="1" applyAlignment="1" applyProtection="1">
      <alignment horizontal="left" vertical="center" wrapText="1"/>
      <protection locked="0"/>
    </xf>
    <xf numFmtId="0" fontId="23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167" fontId="11" fillId="0" borderId="15" xfId="19" applyNumberFormat="1" applyFont="1" applyBorder="1" applyAlignment="1">
      <alignment horizontal="right" vertical="center"/>
    </xf>
    <xf numFmtId="0" fontId="10" fillId="0" borderId="23" xfId="0" applyFont="1" applyBorder="1">
      <alignment vertical="center"/>
    </xf>
    <xf numFmtId="0" fontId="11" fillId="0" borderId="23" xfId="0" applyFont="1" applyBorder="1" applyAlignment="1">
      <alignment horizontal="right" vertical="center"/>
    </xf>
    <xf numFmtId="167" fontId="11" fillId="0" borderId="24" xfId="19" applyNumberFormat="1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167" fontId="11" fillId="0" borderId="25" xfId="19" applyNumberFormat="1" applyFont="1" applyBorder="1" applyAlignment="1">
      <alignment horizontal="right" vertical="center"/>
    </xf>
    <xf numFmtId="9" fontId="11" fillId="0" borderId="0" xfId="30" applyFont="1" applyAlignment="1">
      <alignment horizontal="center" vertical="center" wrapText="1"/>
    </xf>
    <xf numFmtId="9" fontId="11" fillId="0" borderId="14" xfId="30" applyFont="1" applyBorder="1" applyAlignment="1" applyProtection="1">
      <alignment horizontal="center" vertical="center" wrapText="1"/>
      <protection locked="0"/>
    </xf>
    <xf numFmtId="9" fontId="11" fillId="0" borderId="16" xfId="30" applyFont="1" applyBorder="1" applyAlignment="1" applyProtection="1">
      <alignment horizontal="center" vertical="center" wrapText="1"/>
      <protection locked="0"/>
    </xf>
    <xf numFmtId="9" fontId="11" fillId="0" borderId="18" xfId="30" applyFont="1" applyBorder="1" applyAlignment="1" applyProtection="1">
      <alignment horizontal="center" vertical="center" wrapText="1"/>
      <protection locked="0"/>
    </xf>
    <xf numFmtId="9" fontId="12" fillId="0" borderId="0" xfId="30" applyFont="1" applyAlignment="1">
      <alignment horizontal="center" vertical="center" wrapText="1"/>
    </xf>
    <xf numFmtId="9" fontId="11" fillId="0" borderId="13" xfId="30" applyFont="1" applyBorder="1" applyAlignment="1" applyProtection="1">
      <alignment horizontal="center" vertical="center" wrapText="1"/>
      <protection locked="0"/>
    </xf>
    <xf numFmtId="9" fontId="11" fillId="0" borderId="20" xfId="30" applyFont="1" applyBorder="1" applyAlignment="1" applyProtection="1">
      <alignment horizontal="center" vertical="center" wrapText="1"/>
      <protection locked="0"/>
    </xf>
    <xf numFmtId="9" fontId="11" fillId="0" borderId="21" xfId="30" applyFont="1" applyBorder="1" applyAlignment="1" applyProtection="1">
      <alignment horizontal="center" vertical="center" wrapText="1"/>
      <protection locked="0"/>
    </xf>
    <xf numFmtId="0" fontId="5" fillId="25" borderId="11" xfId="0" applyFont="1" applyFill="1" applyBorder="1" applyAlignment="1" applyProtection="1">
      <alignment horizontal="center"/>
      <protection locked="0"/>
    </xf>
    <xf numFmtId="41" fontId="11" fillId="25" borderId="13" xfId="19" applyNumberFormat="1" applyFont="1" applyFill="1" applyBorder="1" applyAlignment="1" applyProtection="1">
      <alignment horizontal="center" vertical="center" wrapText="1"/>
      <protection locked="0"/>
    </xf>
    <xf numFmtId="41" fontId="11" fillId="25" borderId="20" xfId="19" applyNumberFormat="1" applyFont="1" applyFill="1" applyBorder="1" applyAlignment="1" applyProtection="1">
      <alignment horizontal="center" vertical="center" wrapText="1"/>
      <protection locked="0"/>
    </xf>
    <xf numFmtId="41" fontId="11" fillId="25" borderId="21" xfId="19" applyNumberFormat="1" applyFont="1" applyFill="1" applyBorder="1" applyAlignment="1" applyProtection="1">
      <alignment horizontal="center" vertical="center" wrapText="1"/>
      <protection locked="0"/>
    </xf>
    <xf numFmtId="167" fontId="11" fillId="25" borderId="26" xfId="19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1" fillId="0" borderId="21" xfId="19" applyNumberFormat="1" applyFont="1" applyBorder="1" applyAlignment="1" applyProtection="1">
      <alignment horizontal="center" vertical="center" wrapText="1"/>
      <protection locked="0"/>
    </xf>
    <xf numFmtId="0" fontId="11" fillId="0" borderId="20" xfId="19" applyNumberFormat="1" applyFont="1" applyBorder="1" applyAlignment="1" applyProtection="1">
      <alignment horizontal="center" vertical="center" wrapText="1"/>
      <protection locked="0"/>
    </xf>
    <xf numFmtId="0" fontId="12" fillId="0" borderId="28" xfId="0" applyFont="1" applyBorder="1">
      <alignment vertical="center"/>
    </xf>
    <xf numFmtId="0" fontId="11" fillId="0" borderId="29" xfId="19" applyNumberFormat="1" applyFont="1" applyBorder="1" applyAlignment="1" applyProtection="1">
      <alignment horizontal="center" vertical="center" wrapText="1"/>
      <protection locked="0"/>
    </xf>
    <xf numFmtId="0" fontId="11" fillId="0" borderId="0" xfId="19" applyNumberFormat="1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172" fontId="11" fillId="0" borderId="0" xfId="21" applyFont="1" applyAlignment="1">
      <alignment horizontal="right" vertical="center" wrapText="1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11" fillId="0" borderId="0" xfId="28" applyFont="1"/>
    <xf numFmtId="0" fontId="11" fillId="0" borderId="11" xfId="19" applyNumberFormat="1" applyFont="1" applyBorder="1" applyAlignment="1" applyProtection="1">
      <alignment horizontal="left" vertical="center"/>
      <protection locked="0"/>
    </xf>
    <xf numFmtId="169" fontId="11" fillId="0" borderId="29" xfId="19" applyNumberFormat="1" applyFont="1" applyBorder="1" applyAlignment="1" applyProtection="1">
      <alignment horizontal="center" vertical="center" wrapText="1"/>
      <protection locked="0"/>
    </xf>
    <xf numFmtId="9" fontId="11" fillId="0" borderId="11" xfId="30" applyFont="1" applyBorder="1" applyAlignment="1" applyProtection="1">
      <alignment horizontal="center" vertical="center" wrapText="1"/>
      <protection locked="0"/>
    </xf>
    <xf numFmtId="41" fontId="11" fillId="25" borderId="11" xfId="19" applyNumberFormat="1" applyFont="1" applyFill="1" applyBorder="1" applyAlignment="1" applyProtection="1">
      <alignment horizontal="center" vertical="center" wrapText="1"/>
      <protection locked="0"/>
    </xf>
    <xf numFmtId="41" fontId="11" fillId="25" borderId="15" xfId="19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/>
    <xf numFmtId="0" fontId="2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16" fillId="0" borderId="0" xfId="0" applyFont="1" applyAlignment="1"/>
    <xf numFmtId="0" fontId="7" fillId="0" borderId="0" xfId="0" applyFont="1" applyAlignment="1">
      <alignment horizontal="left" wrapText="1"/>
    </xf>
    <xf numFmtId="0" fontId="10" fillId="0" borderId="0" xfId="0" applyFont="1" applyAlignment="1"/>
    <xf numFmtId="0" fontId="20" fillId="24" borderId="19" xfId="0" applyFont="1" applyFill="1" applyBorder="1" applyAlignment="1">
      <alignment horizontal="left" vertical="center"/>
    </xf>
    <xf numFmtId="0" fontId="17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29" xfId="19" applyNumberFormat="1" applyFont="1" applyBorder="1" applyAlignment="1" applyProtection="1">
      <alignment horizontal="left" vertical="center"/>
      <protection locked="0"/>
    </xf>
    <xf numFmtId="0" fontId="11" fillId="0" borderId="28" xfId="19" applyNumberFormat="1" applyFont="1" applyBorder="1" applyAlignment="1">
      <alignment horizontal="center" vertical="center" wrapText="1"/>
    </xf>
    <xf numFmtId="0" fontId="11" fillId="0" borderId="0" xfId="27" applyFont="1" applyAlignment="1">
      <alignment vertical="center"/>
    </xf>
    <xf numFmtId="0" fontId="11" fillId="0" borderId="13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top"/>
    </xf>
    <xf numFmtId="172" fontId="11" fillId="0" borderId="28" xfId="21" applyFont="1" applyBorder="1" applyAlignment="1">
      <alignment horizontal="right" vertical="center" wrapText="1"/>
    </xf>
    <xf numFmtId="9" fontId="12" fillId="0" borderId="28" xfId="30" applyFont="1" applyBorder="1" applyAlignment="1">
      <alignment horizontal="center" vertical="center" wrapText="1"/>
    </xf>
    <xf numFmtId="167" fontId="12" fillId="0" borderId="28" xfId="19" applyNumberFormat="1" applyFont="1" applyBorder="1" applyAlignment="1">
      <alignment horizontal="center" vertical="center" wrapText="1"/>
    </xf>
    <xf numFmtId="174" fontId="11" fillId="25" borderId="32" xfId="0" applyNumberFormat="1" applyFont="1" applyFill="1" applyBorder="1" applyAlignment="1">
      <alignment horizontal="left" vertical="center"/>
    </xf>
    <xf numFmtId="174" fontId="11" fillId="25" borderId="33" xfId="0" applyNumberFormat="1" applyFont="1" applyFill="1" applyBorder="1" applyAlignment="1">
      <alignment horizontal="center" vertical="center"/>
    </xf>
    <xf numFmtId="9" fontId="11" fillId="0" borderId="15" xfId="30" applyFont="1" applyBorder="1" applyAlignment="1" applyProtection="1">
      <alignment horizontal="center" vertical="center" wrapText="1"/>
      <protection locked="0"/>
    </xf>
    <xf numFmtId="43" fontId="13" fillId="0" borderId="10" xfId="19" applyFont="1" applyBorder="1" applyAlignment="1">
      <alignment horizontal="center" vertical="center" wrapText="1"/>
    </xf>
    <xf numFmtId="168" fontId="11" fillId="0" borderId="10" xfId="30" applyNumberFormat="1" applyFont="1" applyBorder="1" applyAlignment="1">
      <alignment horizontal="right" vertical="center" wrapText="1"/>
    </xf>
    <xf numFmtId="9" fontId="10" fillId="0" borderId="10" xfId="30" applyFont="1" applyBorder="1">
      <alignment vertical="center"/>
    </xf>
    <xf numFmtId="0" fontId="11" fillId="0" borderId="10" xfId="19" applyNumberFormat="1" applyFont="1" applyBorder="1" applyAlignment="1" applyProtection="1">
      <alignment horizontal="center" vertical="center" wrapText="1"/>
      <protection locked="0"/>
    </xf>
    <xf numFmtId="174" fontId="11" fillId="25" borderId="33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8" fillId="26" borderId="19" xfId="0" applyFont="1" applyFill="1" applyBorder="1" applyAlignment="1">
      <alignment horizontal="left" vertical="center"/>
    </xf>
    <xf numFmtId="0" fontId="18" fillId="26" borderId="34" xfId="0" applyFont="1" applyFill="1" applyBorder="1" applyAlignment="1">
      <alignment horizontal="left" vertical="center"/>
    </xf>
    <xf numFmtId="0" fontId="18" fillId="26" borderId="35" xfId="0" applyFont="1" applyFill="1" applyBorder="1" applyAlignment="1">
      <alignment horizontal="left" vertical="center"/>
    </xf>
    <xf numFmtId="0" fontId="5" fillId="27" borderId="0" xfId="0" applyFont="1" applyFill="1" applyAlignment="1" applyProtection="1">
      <alignment horizontal="left" vertical="center"/>
      <protection locked="0"/>
    </xf>
    <xf numFmtId="41" fontId="7" fillId="27" borderId="0" xfId="0" applyNumberFormat="1" applyFont="1" applyFill="1" applyProtection="1">
      <alignment vertical="center"/>
      <protection locked="0"/>
    </xf>
    <xf numFmtId="176" fontId="7" fillId="27" borderId="0" xfId="0" applyNumberFormat="1" applyFont="1" applyFill="1" applyAlignment="1" applyProtection="1">
      <alignment horizontal="right" vertical="center"/>
      <protection locked="0"/>
    </xf>
    <xf numFmtId="0" fontId="25" fillId="27" borderId="0" xfId="22" applyFill="1" applyAlignment="1">
      <alignment horizontal="right" vertical="center"/>
      <protection locked="0"/>
    </xf>
    <xf numFmtId="41" fontId="7" fillId="27" borderId="0" xfId="0" applyNumberFormat="1" applyFont="1" applyFill="1" applyAlignment="1" applyProtection="1">
      <alignment vertical="center" shrinkToFit="1"/>
      <protection locked="0"/>
    </xf>
    <xf numFmtId="176" fontId="7" fillId="27" borderId="0" xfId="0" applyNumberFormat="1" applyFont="1" applyFill="1" applyAlignment="1" applyProtection="1">
      <alignment horizontal="right" vertical="center" shrinkToFit="1"/>
      <protection locked="0"/>
    </xf>
    <xf numFmtId="174" fontId="11" fillId="28" borderId="32" xfId="0" applyNumberFormat="1" applyFont="1" applyFill="1" applyBorder="1" applyAlignment="1">
      <alignment horizontal="left" vertical="center"/>
    </xf>
    <xf numFmtId="174" fontId="11" fillId="28" borderId="33" xfId="0" applyNumberFormat="1" applyFont="1" applyFill="1" applyBorder="1" applyAlignment="1">
      <alignment horizontal="left" vertical="center"/>
    </xf>
    <xf numFmtId="174" fontId="11" fillId="28" borderId="33" xfId="0" applyNumberFormat="1" applyFont="1" applyFill="1" applyBorder="1" applyAlignment="1">
      <alignment horizontal="center" vertical="center"/>
    </xf>
    <xf numFmtId="174" fontId="11" fillId="28" borderId="36" xfId="0" applyNumberFormat="1" applyFont="1" applyFill="1" applyBorder="1" applyAlignment="1">
      <alignment horizontal="left" vertical="center"/>
    </xf>
    <xf numFmtId="174" fontId="11" fillId="28" borderId="37" xfId="0" applyNumberFormat="1" applyFont="1" applyFill="1" applyBorder="1" applyAlignment="1">
      <alignment horizontal="left" vertical="center"/>
    </xf>
    <xf numFmtId="174" fontId="11" fillId="28" borderId="25" xfId="0" applyNumberFormat="1" applyFont="1" applyFill="1" applyBorder="1" applyAlignment="1">
      <alignment horizontal="left" vertical="center"/>
    </xf>
    <xf numFmtId="174" fontId="11" fillId="28" borderId="38" xfId="0" applyNumberFormat="1" applyFont="1" applyFill="1" applyBorder="1" applyAlignment="1">
      <alignment horizontal="left" vertical="center"/>
    </xf>
    <xf numFmtId="174" fontId="11" fillId="28" borderId="28" xfId="0" applyNumberFormat="1" applyFont="1" applyFill="1" applyBorder="1" applyAlignment="1">
      <alignment horizontal="left" vertical="center"/>
    </xf>
    <xf numFmtId="174" fontId="11" fillId="28" borderId="37" xfId="0" applyNumberFormat="1" applyFont="1" applyFill="1" applyBorder="1" applyAlignment="1">
      <alignment horizontal="center" vertical="center"/>
    </xf>
    <xf numFmtId="174" fontId="11" fillId="28" borderId="28" xfId="0" applyNumberFormat="1" applyFont="1" applyFill="1" applyBorder="1" applyAlignment="1">
      <alignment horizontal="center" vertical="center"/>
    </xf>
    <xf numFmtId="174" fontId="11" fillId="28" borderId="39" xfId="0" applyNumberFormat="1" applyFont="1" applyFill="1" applyBorder="1" applyAlignment="1">
      <alignment horizontal="left" vertical="center"/>
    </xf>
    <xf numFmtId="174" fontId="11" fillId="28" borderId="10" xfId="0" applyNumberFormat="1" applyFont="1" applyFill="1" applyBorder="1" applyAlignment="1">
      <alignment horizontal="left" vertical="center"/>
    </xf>
    <xf numFmtId="174" fontId="11" fillId="28" borderId="10" xfId="0" applyNumberFormat="1" applyFont="1" applyFill="1" applyBorder="1" applyAlignment="1">
      <alignment horizontal="center" vertical="center"/>
    </xf>
    <xf numFmtId="0" fontId="11" fillId="0" borderId="13" xfId="19" applyNumberFormat="1" applyFont="1" applyBorder="1" applyAlignment="1" applyProtection="1">
      <alignment horizontal="center" vertical="center"/>
      <protection locked="0"/>
    </xf>
    <xf numFmtId="0" fontId="11" fillId="0" borderId="20" xfId="19" applyNumberFormat="1" applyFont="1" applyBorder="1" applyAlignment="1" applyProtection="1">
      <alignment horizontal="center" vertical="center"/>
      <protection locked="0"/>
    </xf>
    <xf numFmtId="0" fontId="11" fillId="0" borderId="21" xfId="19" applyNumberFormat="1" applyFont="1" applyBorder="1" applyAlignment="1" applyProtection="1">
      <alignment horizontal="center" vertical="center"/>
      <protection locked="0"/>
    </xf>
    <xf numFmtId="0" fontId="11" fillId="0" borderId="11" xfId="19" applyNumberFormat="1" applyFont="1" applyBorder="1" applyAlignment="1" applyProtection="1">
      <alignment horizontal="center" vertical="center"/>
      <protection locked="0"/>
    </xf>
    <xf numFmtId="0" fontId="11" fillId="0" borderId="13" xfId="19" applyNumberFormat="1" applyFont="1" applyBorder="1" applyAlignment="1" applyProtection="1">
      <alignment horizontal="center" vertical="center" wrapText="1"/>
      <protection locked="0"/>
    </xf>
    <xf numFmtId="0" fontId="20" fillId="24" borderId="35" xfId="0" applyFont="1" applyFill="1" applyBorder="1" applyAlignment="1">
      <alignment horizontal="center" vertical="center"/>
    </xf>
    <xf numFmtId="0" fontId="20" fillId="24" borderId="39" xfId="0" applyFont="1" applyFill="1" applyBorder="1" applyAlignment="1">
      <alignment vertical="center" wrapText="1"/>
    </xf>
    <xf numFmtId="0" fontId="20" fillId="24" borderId="10" xfId="0" applyFont="1" applyFill="1" applyBorder="1" applyAlignment="1">
      <alignment vertical="center" wrapText="1"/>
    </xf>
    <xf numFmtId="0" fontId="20" fillId="24" borderId="29" xfId="0" applyFont="1" applyFill="1" applyBorder="1" applyAlignment="1">
      <alignment vertical="center" wrapText="1"/>
    </xf>
    <xf numFmtId="169" fontId="11" fillId="0" borderId="20" xfId="19" applyNumberFormat="1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left" vertical="center"/>
    </xf>
    <xf numFmtId="173" fontId="10" fillId="0" borderId="0" xfId="0" applyNumberFormat="1" applyFont="1" applyAlignment="1">
      <alignment horizontal="center" vertical="center" wrapText="1"/>
    </xf>
    <xf numFmtId="173" fontId="11" fillId="0" borderId="14" xfId="19" applyNumberFormat="1" applyFont="1" applyBorder="1" applyAlignment="1" applyProtection="1">
      <alignment horizontal="center" vertical="center" wrapText="1"/>
      <protection locked="0"/>
    </xf>
    <xf numFmtId="173" fontId="11" fillId="0" borderId="16" xfId="19" applyNumberFormat="1" applyFont="1" applyBorder="1" applyAlignment="1" applyProtection="1">
      <alignment horizontal="center" vertical="center" wrapText="1"/>
      <protection locked="0"/>
    </xf>
    <xf numFmtId="173" fontId="11" fillId="0" borderId="18" xfId="19" applyNumberFormat="1" applyFont="1" applyBorder="1" applyAlignment="1" applyProtection="1">
      <alignment horizontal="center" vertical="center" wrapText="1"/>
      <protection locked="0"/>
    </xf>
    <xf numFmtId="173" fontId="10" fillId="0" borderId="0" xfId="0" applyNumberFormat="1" applyFont="1" applyAlignment="1">
      <alignment vertical="center" wrapText="1"/>
    </xf>
    <xf numFmtId="173" fontId="11" fillId="0" borderId="0" xfId="19" applyNumberFormat="1" applyFont="1" applyAlignment="1" applyProtection="1">
      <alignment vertical="center" wrapText="1"/>
      <protection locked="0"/>
    </xf>
    <xf numFmtId="173" fontId="11" fillId="0" borderId="28" xfId="19" applyNumberFormat="1" applyFont="1" applyBorder="1" applyAlignment="1" applyProtection="1">
      <alignment vertical="center" wrapText="1"/>
      <protection locked="0"/>
    </xf>
    <xf numFmtId="173" fontId="11" fillId="0" borderId="31" xfId="19" applyNumberFormat="1" applyFont="1" applyBorder="1" applyAlignment="1" applyProtection="1">
      <alignment horizontal="center" vertical="center" wrapText="1"/>
      <protection locked="0"/>
    </xf>
    <xf numFmtId="173" fontId="12" fillId="0" borderId="0" xfId="0" applyNumberFormat="1" applyFont="1" applyAlignment="1">
      <alignment vertical="center" wrapText="1"/>
    </xf>
    <xf numFmtId="173" fontId="11" fillId="0" borderId="0" xfId="0" applyNumberFormat="1" applyFont="1" applyAlignment="1">
      <alignment vertical="center" wrapText="1"/>
    </xf>
    <xf numFmtId="173" fontId="11" fillId="0" borderId="10" xfId="19" applyNumberFormat="1" applyFont="1" applyBorder="1" applyAlignment="1" applyProtection="1">
      <alignment horizontal="center" vertical="center" wrapText="1"/>
      <protection locked="0"/>
    </xf>
    <xf numFmtId="173" fontId="11" fillId="0" borderId="0" xfId="19" applyNumberFormat="1" applyFont="1" applyAlignment="1" applyProtection="1">
      <alignment horizontal="center" vertical="center" wrapText="1"/>
      <protection locked="0"/>
    </xf>
    <xf numFmtId="173" fontId="11" fillId="0" borderId="29" xfId="19" applyNumberFormat="1" applyFont="1" applyBorder="1" applyAlignment="1" applyProtection="1">
      <alignment horizontal="center" vertical="center" wrapText="1"/>
      <protection locked="0"/>
    </xf>
    <xf numFmtId="0" fontId="11" fillId="28" borderId="38" xfId="0" applyFont="1" applyFill="1" applyBorder="1" applyAlignment="1">
      <alignment horizontal="left" vertical="center"/>
    </xf>
    <xf numFmtId="0" fontId="46" fillId="0" borderId="0" xfId="0" applyFont="1">
      <alignment vertical="center"/>
    </xf>
    <xf numFmtId="0" fontId="46" fillId="0" borderId="0" xfId="0" applyFont="1" applyAlignment="1">
      <alignment vertical="center" wrapText="1"/>
    </xf>
    <xf numFmtId="0" fontId="46" fillId="0" borderId="0" xfId="0" applyFont="1" applyProtection="1">
      <alignment vertical="center"/>
      <protection locked="0"/>
    </xf>
    <xf numFmtId="0" fontId="46" fillId="0" borderId="0" xfId="0" applyFont="1" applyAlignment="1">
      <alignment horizontal="center" vertical="center" wrapText="1"/>
    </xf>
    <xf numFmtId="0" fontId="47" fillId="0" borderId="0" xfId="0" applyFont="1" applyAlignment="1" applyProtection="1">
      <alignment horizontal="right" vertical="center"/>
      <protection locked="0"/>
    </xf>
    <xf numFmtId="0" fontId="48" fillId="0" borderId="0" xfId="0" applyFont="1">
      <alignment vertical="center"/>
    </xf>
    <xf numFmtId="0" fontId="48" fillId="0" borderId="0" xfId="0" applyFont="1" applyAlignment="1">
      <alignment vertical="center" wrapText="1"/>
    </xf>
    <xf numFmtId="0" fontId="49" fillId="0" borderId="0" xfId="0" applyFont="1" applyProtection="1">
      <alignment vertical="center"/>
      <protection locked="0"/>
    </xf>
    <xf numFmtId="0" fontId="48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1" fillId="0" borderId="0" xfId="0" applyFont="1" applyAlignment="1">
      <alignment horizontal="right" vertical="center"/>
    </xf>
    <xf numFmtId="0" fontId="52" fillId="0" borderId="0" xfId="0" applyFont="1">
      <alignment vertical="center"/>
    </xf>
    <xf numFmtId="0" fontId="52" fillId="0" borderId="0" xfId="0" applyFont="1" applyAlignment="1">
      <alignment vertical="center" wrapText="1"/>
    </xf>
    <xf numFmtId="0" fontId="52" fillId="0" borderId="0" xfId="0" applyFont="1" applyAlignment="1">
      <alignment horizontal="center" vertical="center" wrapText="1"/>
    </xf>
    <xf numFmtId="0" fontId="53" fillId="0" borderId="0" xfId="0" applyFont="1" applyAlignment="1" applyProtection="1">
      <alignment horizontal="right" vertical="center"/>
      <protection locked="0"/>
    </xf>
    <xf numFmtId="0" fontId="54" fillId="24" borderId="19" xfId="0" applyFont="1" applyFill="1" applyBorder="1">
      <alignment vertical="center"/>
    </xf>
    <xf numFmtId="0" fontId="54" fillId="24" borderId="12" xfId="0" applyFont="1" applyFill="1" applyBorder="1" applyAlignment="1">
      <alignment vertical="center" wrapText="1"/>
    </xf>
    <xf numFmtId="0" fontId="54" fillId="24" borderId="19" xfId="0" applyFont="1" applyFill="1" applyBorder="1" applyAlignment="1">
      <alignment vertical="center" wrapText="1"/>
    </xf>
    <xf numFmtId="0" fontId="54" fillId="24" borderId="34" xfId="0" applyFont="1" applyFill="1" applyBorder="1" applyAlignment="1">
      <alignment vertical="center" wrapText="1"/>
    </xf>
    <xf numFmtId="0" fontId="54" fillId="24" borderId="35" xfId="0" applyFont="1" applyFill="1" applyBorder="1" applyAlignment="1">
      <alignment vertical="center" wrapText="1"/>
    </xf>
    <xf numFmtId="0" fontId="55" fillId="24" borderId="44" xfId="58" applyFont="1" applyFill="1" applyBorder="1" applyAlignment="1">
      <alignment horizontal="center" vertical="center" wrapText="1"/>
    </xf>
    <xf numFmtId="0" fontId="54" fillId="24" borderId="44" xfId="58" applyFont="1" applyFill="1" applyBorder="1" applyAlignment="1">
      <alignment horizontal="center" vertical="center" wrapText="1"/>
    </xf>
    <xf numFmtId="0" fontId="56" fillId="24" borderId="44" xfId="58" applyFont="1" applyFill="1" applyBorder="1" applyAlignment="1">
      <alignment horizontal="center" vertical="center" wrapText="1"/>
    </xf>
    <xf numFmtId="0" fontId="56" fillId="24" borderId="45" xfId="58" applyFont="1" applyFill="1" applyBorder="1" applyAlignment="1">
      <alignment horizontal="center" vertical="center" wrapText="1"/>
    </xf>
    <xf numFmtId="0" fontId="57" fillId="0" borderId="0" xfId="26" applyFont="1" applyAlignment="1" applyProtection="1">
      <alignment horizontal="left" vertical="center"/>
      <protection locked="0"/>
    </xf>
    <xf numFmtId="0" fontId="59" fillId="0" borderId="13" xfId="19" applyNumberFormat="1" applyFont="1" applyBorder="1" applyAlignment="1" applyProtection="1">
      <alignment horizontal="left" vertical="center" wrapText="1"/>
      <protection locked="0"/>
    </xf>
    <xf numFmtId="174" fontId="60" fillId="28" borderId="36" xfId="0" applyNumberFormat="1" applyFont="1" applyFill="1" applyBorder="1" applyAlignment="1">
      <alignment horizontal="left" vertical="center"/>
    </xf>
    <xf numFmtId="174" fontId="59" fillId="28" borderId="37" xfId="0" applyNumberFormat="1" applyFont="1" applyFill="1" applyBorder="1" applyAlignment="1">
      <alignment horizontal="left" vertical="center"/>
    </xf>
    <xf numFmtId="174" fontId="59" fillId="28" borderId="37" xfId="0" applyNumberFormat="1" applyFont="1" applyFill="1" applyBorder="1" applyAlignment="1">
      <alignment horizontal="center" vertical="center"/>
    </xf>
    <xf numFmtId="177" fontId="59" fillId="0" borderId="13" xfId="19" applyNumberFormat="1" applyFont="1" applyBorder="1" applyAlignment="1" applyProtection="1">
      <alignment horizontal="center" vertical="center"/>
      <protection locked="0"/>
    </xf>
    <xf numFmtId="169" fontId="59" fillId="0" borderId="13" xfId="19" applyNumberFormat="1" applyFont="1" applyBorder="1" applyAlignment="1" applyProtection="1">
      <alignment horizontal="center" vertical="center" wrapText="1"/>
      <protection locked="0"/>
    </xf>
    <xf numFmtId="169" fontId="59" fillId="0" borderId="14" xfId="19" applyNumberFormat="1" applyFont="1" applyBorder="1" applyAlignment="1" applyProtection="1">
      <alignment horizontal="center" vertical="center" wrapText="1"/>
      <protection locked="0"/>
    </xf>
    <xf numFmtId="178" fontId="59" fillId="0" borderId="13" xfId="19" applyNumberFormat="1" applyFont="1" applyBorder="1" applyAlignment="1" applyProtection="1">
      <alignment horizontal="center" vertical="center" wrapText="1"/>
      <protection locked="0"/>
    </xf>
    <xf numFmtId="0" fontId="59" fillId="0" borderId="13" xfId="19" applyNumberFormat="1" applyFont="1" applyBorder="1" applyAlignment="1" applyProtection="1">
      <alignment horizontal="center" vertical="center" wrapText="1"/>
      <protection locked="0"/>
    </xf>
    <xf numFmtId="171" fontId="59" fillId="0" borderId="13" xfId="19" applyNumberFormat="1" applyFont="1" applyBorder="1" applyAlignment="1" applyProtection="1">
      <alignment horizontal="center" vertical="center" wrapText="1"/>
      <protection locked="0"/>
    </xf>
    <xf numFmtId="0" fontId="59" fillId="0" borderId="0" xfId="26" applyFont="1">
      <alignment vertical="center"/>
    </xf>
    <xf numFmtId="0" fontId="59" fillId="0" borderId="20" xfId="19" applyNumberFormat="1" applyFont="1" applyBorder="1" applyAlignment="1" applyProtection="1">
      <alignment horizontal="left" vertical="center" wrapText="1"/>
      <protection locked="0"/>
    </xf>
    <xf numFmtId="174" fontId="60" fillId="28" borderId="25" xfId="0" applyNumberFormat="1" applyFont="1" applyFill="1" applyBorder="1" applyAlignment="1">
      <alignment horizontal="left" vertical="center"/>
    </xf>
    <xf numFmtId="174" fontId="59" fillId="28" borderId="33" xfId="0" applyNumberFormat="1" applyFont="1" applyFill="1" applyBorder="1" applyAlignment="1">
      <alignment horizontal="left" vertical="center"/>
    </xf>
    <xf numFmtId="174" fontId="59" fillId="28" borderId="33" xfId="0" applyNumberFormat="1" applyFont="1" applyFill="1" applyBorder="1" applyAlignment="1">
      <alignment horizontal="center" vertical="center"/>
    </xf>
    <xf numFmtId="177" fontId="59" fillId="0" borderId="20" xfId="19" applyNumberFormat="1" applyFont="1" applyBorder="1" applyAlignment="1" applyProtection="1">
      <alignment horizontal="center" vertical="center"/>
      <protection locked="0"/>
    </xf>
    <xf numFmtId="169" fontId="59" fillId="0" borderId="20" xfId="19" applyNumberFormat="1" applyFont="1" applyBorder="1" applyAlignment="1" applyProtection="1">
      <alignment horizontal="center" vertical="center" wrapText="1"/>
      <protection locked="0"/>
    </xf>
    <xf numFmtId="169" fontId="59" fillId="0" borderId="16" xfId="19" applyNumberFormat="1" applyFont="1" applyBorder="1" applyAlignment="1" applyProtection="1">
      <alignment horizontal="center" vertical="center" wrapText="1"/>
      <protection locked="0"/>
    </xf>
    <xf numFmtId="178" fontId="59" fillId="0" borderId="20" xfId="19" applyNumberFormat="1" applyFont="1" applyBorder="1" applyAlignment="1" applyProtection="1">
      <alignment horizontal="center" vertical="center" wrapText="1"/>
      <protection locked="0"/>
    </xf>
    <xf numFmtId="0" fontId="59" fillId="0" borderId="20" xfId="19" applyNumberFormat="1" applyFont="1" applyBorder="1" applyAlignment="1" applyProtection="1">
      <alignment horizontal="center" vertical="center" wrapText="1"/>
      <protection locked="0"/>
    </xf>
    <xf numFmtId="171" fontId="59" fillId="0" borderId="20" xfId="19" applyNumberFormat="1" applyFont="1" applyBorder="1" applyAlignment="1" applyProtection="1">
      <alignment horizontal="center" vertical="center" wrapText="1"/>
      <protection locked="0"/>
    </xf>
    <xf numFmtId="0" fontId="59" fillId="0" borderId="21" xfId="19" applyNumberFormat="1" applyFont="1" applyBorder="1" applyAlignment="1" applyProtection="1">
      <alignment horizontal="left" vertical="center" wrapText="1"/>
      <protection locked="0"/>
    </xf>
    <xf numFmtId="174" fontId="60" fillId="28" borderId="38" xfId="0" applyNumberFormat="1" applyFont="1" applyFill="1" applyBorder="1" applyAlignment="1">
      <alignment horizontal="left" vertical="center"/>
    </xf>
    <xf numFmtId="174" fontId="59" fillId="28" borderId="28" xfId="0" applyNumberFormat="1" applyFont="1" applyFill="1" applyBorder="1" applyAlignment="1">
      <alignment horizontal="left" vertical="center"/>
    </xf>
    <xf numFmtId="174" fontId="59" fillId="28" borderId="28" xfId="0" applyNumberFormat="1" applyFont="1" applyFill="1" applyBorder="1" applyAlignment="1">
      <alignment horizontal="center" vertical="center"/>
    </xf>
    <xf numFmtId="177" fontId="59" fillId="0" borderId="21" xfId="19" applyNumberFormat="1" applyFont="1" applyBorder="1" applyAlignment="1" applyProtection="1">
      <alignment horizontal="center" vertical="center"/>
      <protection locked="0"/>
    </xf>
    <xf numFmtId="169" fontId="59" fillId="0" borderId="21" xfId="19" applyNumberFormat="1" applyFont="1" applyBorder="1" applyAlignment="1" applyProtection="1">
      <alignment horizontal="center" vertical="center" wrapText="1"/>
      <protection locked="0"/>
    </xf>
    <xf numFmtId="169" fontId="59" fillId="0" borderId="18" xfId="19" applyNumberFormat="1" applyFont="1" applyBorder="1" applyAlignment="1" applyProtection="1">
      <alignment horizontal="center" vertical="center" wrapText="1"/>
      <protection locked="0"/>
    </xf>
    <xf numFmtId="178" fontId="59" fillId="0" borderId="21" xfId="19" applyNumberFormat="1" applyFont="1" applyBorder="1" applyAlignment="1" applyProtection="1">
      <alignment horizontal="center" vertical="center" wrapText="1"/>
      <protection locked="0"/>
    </xf>
    <xf numFmtId="0" fontId="59" fillId="0" borderId="21" xfId="19" applyNumberFormat="1" applyFont="1" applyBorder="1" applyAlignment="1" applyProtection="1">
      <alignment horizontal="center" vertical="center" wrapText="1"/>
      <protection locked="0"/>
    </xf>
    <xf numFmtId="171" fontId="59" fillId="0" borderId="21" xfId="19" applyNumberFormat="1" applyFont="1" applyBorder="1" applyAlignment="1" applyProtection="1">
      <alignment horizontal="center" vertical="center" wrapText="1"/>
      <protection locked="0"/>
    </xf>
    <xf numFmtId="0" fontId="61" fillId="0" borderId="0" xfId="0" applyFont="1">
      <alignment vertical="center"/>
    </xf>
    <xf numFmtId="0" fontId="57" fillId="0" borderId="0" xfId="0" applyFont="1" applyAlignment="1">
      <alignment horizontal="left"/>
    </xf>
    <xf numFmtId="0" fontId="59" fillId="0" borderId="0" xfId="0" applyFont="1" applyAlignment="1">
      <alignment horizontal="center" vertical="center" wrapText="1"/>
    </xf>
    <xf numFmtId="172" fontId="59" fillId="0" borderId="0" xfId="21" applyFont="1" applyAlignment="1">
      <alignment horizontal="right" vertical="center" wrapText="1"/>
    </xf>
    <xf numFmtId="0" fontId="59" fillId="0" borderId="0" xfId="26" applyFont="1" applyAlignment="1">
      <alignment vertical="center" wrapText="1"/>
    </xf>
    <xf numFmtId="0" fontId="59" fillId="0" borderId="13" xfId="20" applyNumberFormat="1" applyFont="1" applyBorder="1" applyAlignment="1" applyProtection="1">
      <alignment horizontal="left" vertical="center" wrapText="1"/>
      <protection locked="0"/>
    </xf>
    <xf numFmtId="174" fontId="59" fillId="28" borderId="36" xfId="0" applyNumberFormat="1" applyFont="1" applyFill="1" applyBorder="1" applyAlignment="1">
      <alignment horizontal="left" vertical="center"/>
    </xf>
    <xf numFmtId="164" fontId="59" fillId="0" borderId="13" xfId="19" applyNumberFormat="1" applyFont="1" applyBorder="1" applyAlignment="1" applyProtection="1">
      <alignment horizontal="center" vertical="center" wrapText="1"/>
      <protection locked="0"/>
    </xf>
    <xf numFmtId="0" fontId="59" fillId="0" borderId="14" xfId="19" applyNumberFormat="1" applyFont="1" applyBorder="1" applyAlignment="1" applyProtection="1">
      <alignment horizontal="center" vertical="center" wrapText="1"/>
      <protection locked="0"/>
    </xf>
    <xf numFmtId="2" fontId="59" fillId="0" borderId="14" xfId="19" applyNumberFormat="1" applyFont="1" applyBorder="1" applyAlignment="1" applyProtection="1">
      <alignment horizontal="center" vertical="center" wrapText="1"/>
      <protection locked="0"/>
    </xf>
    <xf numFmtId="0" fontId="59" fillId="0" borderId="20" xfId="20" applyNumberFormat="1" applyFont="1" applyBorder="1" applyAlignment="1" applyProtection="1">
      <alignment horizontal="left" vertical="center" wrapText="1"/>
      <protection locked="0"/>
    </xf>
    <xf numFmtId="174" fontId="59" fillId="28" borderId="25" xfId="0" applyNumberFormat="1" applyFont="1" applyFill="1" applyBorder="1" applyAlignment="1">
      <alignment horizontal="left" vertical="center"/>
    </xf>
    <xf numFmtId="164" fontId="59" fillId="0" borderId="15" xfId="19" applyNumberFormat="1" applyFont="1" applyBorder="1" applyAlignment="1" applyProtection="1">
      <alignment horizontal="center" vertical="center" wrapText="1"/>
      <protection locked="0"/>
    </xf>
    <xf numFmtId="0" fontId="59" fillId="0" borderId="16" xfId="19" applyNumberFormat="1" applyFont="1" applyBorder="1" applyAlignment="1" applyProtection="1">
      <alignment horizontal="center" vertical="center" wrapText="1"/>
      <protection locked="0"/>
    </xf>
    <xf numFmtId="2" fontId="59" fillId="0" borderId="16" xfId="19" applyNumberFormat="1" applyFont="1" applyBorder="1" applyAlignment="1" applyProtection="1">
      <alignment horizontal="center" vertical="center" wrapText="1"/>
      <protection locked="0"/>
    </xf>
    <xf numFmtId="0" fontId="59" fillId="0" borderId="21" xfId="20" applyNumberFormat="1" applyFont="1" applyBorder="1" applyAlignment="1" applyProtection="1">
      <alignment horizontal="left" vertical="center" wrapText="1"/>
      <protection locked="0"/>
    </xf>
    <xf numFmtId="174" fontId="59" fillId="28" borderId="38" xfId="0" applyNumberFormat="1" applyFont="1" applyFill="1" applyBorder="1" applyAlignment="1">
      <alignment horizontal="left" vertical="center"/>
    </xf>
    <xf numFmtId="164" fontId="59" fillId="0" borderId="17" xfId="19" applyNumberFormat="1" applyFont="1" applyBorder="1" applyAlignment="1" applyProtection="1">
      <alignment horizontal="center" vertical="center" wrapText="1"/>
      <protection locked="0"/>
    </xf>
    <xf numFmtId="0" fontId="59" fillId="0" borderId="18" xfId="19" applyNumberFormat="1" applyFont="1" applyBorder="1" applyAlignment="1" applyProtection="1">
      <alignment horizontal="center" vertical="center" wrapText="1"/>
      <protection locked="0"/>
    </xf>
    <xf numFmtId="2" fontId="59" fillId="0" borderId="18" xfId="19" applyNumberFormat="1" applyFont="1" applyBorder="1" applyAlignment="1" applyProtection="1">
      <alignment horizontal="center" vertical="center" wrapText="1"/>
      <protection locked="0"/>
    </xf>
    <xf numFmtId="0" fontId="59" fillId="0" borderId="0" xfId="0" applyFont="1" applyAlignment="1" applyProtection="1">
      <alignment horizontal="left" vertical="center"/>
      <protection locked="0"/>
    </xf>
    <xf numFmtId="0" fontId="59" fillId="0" borderId="0" xfId="0" applyFont="1" applyAlignment="1">
      <alignment horizontal="left" vertical="top"/>
    </xf>
    <xf numFmtId="164" fontId="59" fillId="0" borderId="0" xfId="19" applyNumberFormat="1" applyFont="1" applyAlignment="1">
      <alignment horizontal="center" vertical="center" wrapText="1"/>
    </xf>
    <xf numFmtId="0" fontId="59" fillId="0" borderId="0" xfId="19" applyNumberFormat="1" applyFont="1" applyAlignment="1">
      <alignment horizontal="center" vertical="center" wrapText="1"/>
    </xf>
    <xf numFmtId="2" fontId="59" fillId="0" borderId="0" xfId="19" applyNumberFormat="1" applyFont="1" applyAlignment="1">
      <alignment horizontal="center" vertical="center" wrapText="1"/>
    </xf>
    <xf numFmtId="0" fontId="59" fillId="0" borderId="28" xfId="0" applyFont="1" applyBorder="1" applyAlignment="1">
      <alignment vertical="center" wrapText="1"/>
    </xf>
    <xf numFmtId="0" fontId="61" fillId="0" borderId="28" xfId="0" applyFont="1" applyBorder="1">
      <alignment vertical="center"/>
    </xf>
    <xf numFmtId="0" fontId="59" fillId="0" borderId="0" xfId="0" applyFont="1" applyAlignment="1">
      <alignment vertical="center" wrapText="1"/>
    </xf>
    <xf numFmtId="0" fontId="59" fillId="0" borderId="10" xfId="0" applyFont="1" applyBorder="1" applyAlignment="1">
      <alignment vertical="center" wrapText="1"/>
    </xf>
    <xf numFmtId="164" fontId="59" fillId="0" borderId="15" xfId="19" applyNumberFormat="1" applyFont="1" applyBorder="1" applyAlignment="1" applyProtection="1">
      <alignment horizontal="center" vertical="center"/>
      <protection locked="0"/>
    </xf>
    <xf numFmtId="164" fontId="59" fillId="0" borderId="17" xfId="19" applyNumberFormat="1" applyFont="1" applyBorder="1" applyAlignment="1" applyProtection="1">
      <alignment horizontal="center" vertical="center"/>
      <protection locked="0"/>
    </xf>
    <xf numFmtId="164" fontId="59" fillId="0" borderId="20" xfId="19" applyNumberFormat="1" applyFont="1" applyBorder="1" applyAlignment="1" applyProtection="1">
      <alignment horizontal="center" vertical="center" wrapText="1"/>
      <protection locked="0"/>
    </xf>
    <xf numFmtId="164" fontId="59" fillId="0" borderId="21" xfId="19" applyNumberFormat="1" applyFont="1" applyBorder="1" applyAlignment="1" applyProtection="1">
      <alignment horizontal="center" vertical="center" wrapText="1"/>
      <protection locked="0"/>
    </xf>
    <xf numFmtId="2" fontId="59" fillId="0" borderId="21" xfId="19" applyNumberFormat="1" applyFont="1" applyBorder="1" applyAlignment="1" applyProtection="1">
      <alignment horizontal="center" vertical="center" wrapText="1"/>
      <protection locked="0"/>
    </xf>
    <xf numFmtId="0" fontId="61" fillId="0" borderId="10" xfId="0" applyFont="1" applyBorder="1">
      <alignment vertical="center"/>
    </xf>
    <xf numFmtId="0" fontId="59" fillId="0" borderId="0" xfId="27" applyFont="1" applyAlignment="1">
      <alignment vertical="center"/>
    </xf>
    <xf numFmtId="164" fontId="59" fillId="0" borderId="10" xfId="19" applyNumberFormat="1" applyFont="1" applyBorder="1" applyAlignment="1">
      <alignment horizontal="center" vertical="center" wrapText="1"/>
    </xf>
    <xf numFmtId="0" fontId="59" fillId="0" borderId="10" xfId="19" applyNumberFormat="1" applyFont="1" applyBorder="1" applyAlignment="1">
      <alignment horizontal="center" vertical="center" wrapText="1"/>
    </xf>
    <xf numFmtId="0" fontId="59" fillId="0" borderId="10" xfId="0" applyFont="1" applyBorder="1" applyAlignment="1">
      <alignment horizontal="center" vertical="center" wrapText="1"/>
    </xf>
    <xf numFmtId="174" fontId="59" fillId="28" borderId="42" xfId="0" applyNumberFormat="1" applyFont="1" applyFill="1" applyBorder="1" applyAlignment="1">
      <alignment horizontal="left" vertical="center"/>
    </xf>
    <xf numFmtId="174" fontId="59" fillId="28" borderId="34" xfId="0" applyNumberFormat="1" applyFont="1" applyFill="1" applyBorder="1" applyAlignment="1">
      <alignment horizontal="left" vertical="center"/>
    </xf>
    <xf numFmtId="174" fontId="59" fillId="28" borderId="34" xfId="0" applyNumberFormat="1" applyFont="1" applyFill="1" applyBorder="1" applyAlignment="1">
      <alignment horizontal="center" vertical="center"/>
    </xf>
    <xf numFmtId="0" fontId="59" fillId="0" borderId="17" xfId="19" applyNumberFormat="1" applyFont="1" applyBorder="1" applyAlignment="1" applyProtection="1">
      <alignment horizontal="left" vertical="center" wrapText="1"/>
      <protection locked="0"/>
    </xf>
    <xf numFmtId="8" fontId="59" fillId="0" borderId="14" xfId="59" applyNumberFormat="1" applyFont="1" applyBorder="1" applyAlignment="1" applyProtection="1">
      <alignment horizontal="center" vertical="center" wrapText="1"/>
      <protection locked="0"/>
    </xf>
    <xf numFmtId="0" fontId="59" fillId="0" borderId="14" xfId="59" applyNumberFormat="1" applyFont="1" applyBorder="1" applyAlignment="1" applyProtection="1">
      <alignment horizontal="center" vertical="center" wrapText="1"/>
      <protection locked="0"/>
    </xf>
    <xf numFmtId="0" fontId="59" fillId="0" borderId="14" xfId="59" applyNumberFormat="1" applyFont="1" applyBorder="1" applyAlignment="1" applyProtection="1">
      <alignment horizontal="center" vertical="center"/>
      <protection locked="0"/>
    </xf>
    <xf numFmtId="0" fontId="59" fillId="0" borderId="13" xfId="59" applyNumberFormat="1" applyFont="1" applyBorder="1" applyAlignment="1" applyProtection="1">
      <alignment horizontal="center" vertical="center"/>
      <protection locked="0"/>
    </xf>
    <xf numFmtId="8" fontId="59" fillId="0" borderId="16" xfId="59" applyNumberFormat="1" applyFont="1" applyBorder="1" applyAlignment="1" applyProtection="1">
      <alignment horizontal="center" vertical="center" wrapText="1"/>
      <protection locked="0"/>
    </xf>
    <xf numFmtId="0" fontId="59" fillId="0" borderId="16" xfId="59" applyNumberFormat="1" applyFont="1" applyBorder="1" applyAlignment="1" applyProtection="1">
      <alignment horizontal="center" vertical="center" wrapText="1"/>
      <protection locked="0"/>
    </xf>
    <xf numFmtId="0" fontId="59" fillId="0" borderId="16" xfId="59" applyNumberFormat="1" applyFont="1" applyBorder="1" applyAlignment="1" applyProtection="1">
      <alignment horizontal="center" vertical="center"/>
      <protection locked="0"/>
    </xf>
    <xf numFmtId="0" fontId="59" fillId="0" borderId="20" xfId="59" applyNumberFormat="1" applyFont="1" applyBorder="1" applyAlignment="1" applyProtection="1">
      <alignment horizontal="center" vertical="center"/>
      <protection locked="0"/>
    </xf>
    <xf numFmtId="8" fontId="59" fillId="0" borderId="18" xfId="59" applyNumberFormat="1" applyFont="1" applyBorder="1" applyAlignment="1" applyProtection="1">
      <alignment horizontal="center" vertical="center" wrapText="1"/>
      <protection locked="0"/>
    </xf>
    <xf numFmtId="0" fontId="59" fillId="0" borderId="18" xfId="59" applyNumberFormat="1" applyFont="1" applyBorder="1" applyAlignment="1" applyProtection="1">
      <alignment horizontal="center" vertical="center" wrapText="1"/>
      <protection locked="0"/>
    </xf>
    <xf numFmtId="0" fontId="59" fillId="0" borderId="18" xfId="59" applyNumberFormat="1" applyFont="1" applyBorder="1" applyAlignment="1" applyProtection="1">
      <alignment horizontal="center" vertical="center"/>
      <protection locked="0"/>
    </xf>
    <xf numFmtId="0" fontId="59" fillId="0" borderId="21" xfId="59" applyNumberFormat="1" applyFont="1" applyBorder="1" applyAlignment="1" applyProtection="1">
      <alignment horizontal="center" vertical="center"/>
      <protection locked="0"/>
    </xf>
    <xf numFmtId="0" fontId="59" fillId="0" borderId="10" xfId="0" applyFont="1" applyBorder="1" applyAlignment="1">
      <alignment horizontal="left"/>
    </xf>
    <xf numFmtId="43" fontId="57" fillId="0" borderId="10" xfId="19" applyFont="1" applyBorder="1" applyAlignment="1">
      <alignment horizontal="center" vertical="center" wrapText="1"/>
    </xf>
    <xf numFmtId="0" fontId="57" fillId="0" borderId="10" xfId="0" applyFont="1" applyBorder="1" applyAlignment="1">
      <alignment horizontal="center" vertical="center" wrapText="1"/>
    </xf>
    <xf numFmtId="0" fontId="59" fillId="0" borderId="0" xfId="29" applyFont="1" applyAlignment="1">
      <alignment horizontal="left" vertical="center"/>
    </xf>
    <xf numFmtId="174" fontId="59" fillId="28" borderId="32" xfId="0" applyNumberFormat="1" applyFont="1" applyFill="1" applyBorder="1" applyAlignment="1">
      <alignment horizontal="left" vertical="center"/>
    </xf>
    <xf numFmtId="0" fontId="59" fillId="0" borderId="15" xfId="58" applyFont="1" applyBorder="1" applyAlignment="1">
      <alignment horizontal="center" vertical="center"/>
    </xf>
    <xf numFmtId="0" fontId="59" fillId="0" borderId="25" xfId="58" applyFont="1" applyBorder="1" applyAlignment="1">
      <alignment horizontal="center" vertical="center"/>
    </xf>
    <xf numFmtId="0" fontId="59" fillId="30" borderId="15" xfId="58" applyFont="1" applyFill="1" applyBorder="1" applyAlignment="1">
      <alignment horizontal="center" vertical="center"/>
    </xf>
    <xf numFmtId="0" fontId="59" fillId="30" borderId="25" xfId="58" applyFont="1" applyFill="1" applyBorder="1" applyAlignment="1">
      <alignment horizontal="center" vertical="center"/>
    </xf>
    <xf numFmtId="174" fontId="59" fillId="28" borderId="31" xfId="0" applyNumberFormat="1" applyFont="1" applyFill="1" applyBorder="1" applyAlignment="1">
      <alignment horizontal="center" vertical="center"/>
    </xf>
    <xf numFmtId="174" fontId="59" fillId="28" borderId="43" xfId="0" applyNumberFormat="1" applyFont="1" applyFill="1" applyBorder="1" applyAlignment="1">
      <alignment horizontal="center" vertical="center"/>
    </xf>
    <xf numFmtId="0" fontId="59" fillId="0" borderId="10" xfId="26" applyFont="1" applyBorder="1">
      <alignment vertical="center"/>
    </xf>
    <xf numFmtId="0" fontId="59" fillId="0" borderId="28" xfId="29" applyFont="1" applyBorder="1" applyAlignment="1">
      <alignment horizontal="left" vertical="center"/>
    </xf>
    <xf numFmtId="0" fontId="59" fillId="0" borderId="15" xfId="20" applyNumberFormat="1" applyFont="1" applyBorder="1" applyAlignment="1" applyProtection="1">
      <alignment horizontal="left" vertical="center" wrapText="1"/>
      <protection locked="0"/>
    </xf>
    <xf numFmtId="170" fontId="59" fillId="0" borderId="20" xfId="19" applyNumberFormat="1" applyFont="1" applyBorder="1" applyAlignment="1" applyProtection="1">
      <alignment horizontal="center" vertical="center"/>
      <protection locked="0"/>
    </xf>
    <xf numFmtId="0" fontId="59" fillId="0" borderId="20" xfId="59" applyNumberFormat="1" applyFont="1" applyBorder="1" applyAlignment="1" applyProtection="1">
      <alignment horizontal="center" vertical="center" wrapText="1"/>
      <protection locked="0"/>
    </xf>
    <xf numFmtId="170" fontId="59" fillId="0" borderId="21" xfId="19" applyNumberFormat="1" applyFont="1" applyBorder="1" applyAlignment="1" applyProtection="1">
      <alignment horizontal="center" vertical="center"/>
      <protection locked="0"/>
    </xf>
    <xf numFmtId="0" fontId="59" fillId="0" borderId="0" xfId="0" applyFont="1">
      <alignment vertical="center"/>
    </xf>
    <xf numFmtId="164" fontId="59" fillId="0" borderId="0" xfId="19" applyNumberFormat="1" applyFont="1" applyAlignment="1" applyProtection="1">
      <alignment horizontal="center" vertical="center" wrapText="1"/>
      <protection locked="0"/>
    </xf>
    <xf numFmtId="43" fontId="59" fillId="0" borderId="0" xfId="29" applyNumberFormat="1" applyFont="1" applyAlignment="1">
      <alignment horizontal="right" vertical="center"/>
    </xf>
    <xf numFmtId="0" fontId="59" fillId="0" borderId="0" xfId="19" applyNumberFormat="1" applyFont="1" applyAlignment="1" applyProtection="1">
      <alignment horizontal="center" vertical="center" wrapText="1"/>
      <protection locked="0"/>
    </xf>
    <xf numFmtId="171" fontId="59" fillId="0" borderId="0" xfId="19" applyNumberFormat="1" applyFont="1" applyAlignment="1" applyProtection="1">
      <alignment horizontal="center" vertical="center" wrapText="1"/>
      <protection locked="0"/>
    </xf>
    <xf numFmtId="170" fontId="59" fillId="0" borderId="13" xfId="19" applyNumberFormat="1" applyFont="1" applyBorder="1" applyAlignment="1" applyProtection="1">
      <alignment horizontal="center" vertical="center"/>
      <protection locked="0"/>
    </xf>
    <xf numFmtId="0" fontId="59" fillId="30" borderId="13" xfId="59" applyNumberFormat="1" applyFont="1" applyFill="1" applyBorder="1" applyAlignment="1" applyProtection="1">
      <alignment horizontal="center" vertical="center" wrapText="1"/>
      <protection locked="0"/>
    </xf>
    <xf numFmtId="0" fontId="59" fillId="30" borderId="20" xfId="59" applyNumberFormat="1" applyFont="1" applyFill="1" applyBorder="1" applyAlignment="1" applyProtection="1">
      <alignment horizontal="center" vertical="center" wrapText="1"/>
      <protection locked="0"/>
    </xf>
    <xf numFmtId="0" fontId="59" fillId="30" borderId="21" xfId="59" applyNumberFormat="1" applyFont="1" applyFill="1" applyBorder="1" applyAlignment="1" applyProtection="1">
      <alignment horizontal="center" vertical="center" wrapText="1"/>
      <protection locked="0"/>
    </xf>
    <xf numFmtId="0" fontId="59" fillId="30" borderId="0" xfId="19" applyNumberFormat="1" applyFont="1" applyFill="1" applyAlignment="1" applyProtection="1">
      <alignment horizontal="center" vertical="center" wrapText="1"/>
      <protection locked="0"/>
    </xf>
    <xf numFmtId="171" fontId="59" fillId="30" borderId="0" xfId="19" applyNumberFormat="1" applyFont="1" applyFill="1" applyAlignment="1" applyProtection="1">
      <alignment horizontal="center" vertical="center" wrapText="1"/>
      <protection locked="0"/>
    </xf>
    <xf numFmtId="171" fontId="59" fillId="0" borderId="14" xfId="19" applyNumberFormat="1" applyFont="1" applyBorder="1" applyAlignment="1" applyProtection="1">
      <alignment horizontal="center" vertical="center" wrapText="1"/>
      <protection locked="0"/>
    </xf>
    <xf numFmtId="171" fontId="59" fillId="0" borderId="16" xfId="19" applyNumberFormat="1" applyFont="1" applyBorder="1" applyAlignment="1" applyProtection="1">
      <alignment horizontal="center" vertical="center" wrapText="1"/>
      <protection locked="0"/>
    </xf>
    <xf numFmtId="0" fontId="59" fillId="30" borderId="36" xfId="58" applyFont="1" applyFill="1" applyBorder="1" applyAlignment="1">
      <alignment horizontal="center" vertical="center"/>
    </xf>
    <xf numFmtId="0" fontId="59" fillId="30" borderId="13" xfId="58" applyFont="1" applyFill="1" applyBorder="1" applyAlignment="1">
      <alignment horizontal="center" vertical="center"/>
    </xf>
    <xf numFmtId="171" fontId="59" fillId="0" borderId="18" xfId="19" applyNumberFormat="1" applyFont="1" applyBorder="1" applyAlignment="1" applyProtection="1">
      <alignment horizontal="center" vertical="center" wrapText="1"/>
      <protection locked="0"/>
    </xf>
    <xf numFmtId="0" fontId="59" fillId="30" borderId="38" xfId="58" applyFont="1" applyFill="1" applyBorder="1" applyAlignment="1">
      <alignment horizontal="center" vertical="center"/>
    </xf>
    <xf numFmtId="0" fontId="59" fillId="30" borderId="17" xfId="58" applyFont="1" applyFill="1" applyBorder="1" applyAlignment="1">
      <alignment horizontal="center" vertical="center"/>
    </xf>
    <xf numFmtId="0" fontId="61" fillId="0" borderId="27" xfId="0" applyFont="1" applyBorder="1">
      <alignment vertical="center"/>
    </xf>
    <xf numFmtId="0" fontId="59" fillId="0" borderId="0" xfId="28" applyFont="1"/>
    <xf numFmtId="166" fontId="59" fillId="0" borderId="0" xfId="19" applyNumberFormat="1" applyFont="1" applyAlignment="1">
      <alignment horizontal="right" vertical="center" wrapText="1"/>
    </xf>
    <xf numFmtId="0" fontId="59" fillId="30" borderId="0" xfId="28" applyFont="1" applyFill="1" applyAlignment="1">
      <alignment horizontal="center"/>
    </xf>
    <xf numFmtId="0" fontId="13" fillId="0" borderId="0" xfId="26" applyFont="1" applyAlignment="1" applyProtection="1">
      <alignment horizontal="left" vertical="center"/>
      <protection locked="0"/>
    </xf>
    <xf numFmtId="174" fontId="11" fillId="30" borderId="0" xfId="0" applyNumberFormat="1" applyFont="1" applyFill="1" applyAlignment="1">
      <alignment horizontal="left" vertical="center"/>
    </xf>
    <xf numFmtId="0" fontId="11" fillId="30" borderId="0" xfId="0" applyFont="1" applyFill="1" applyAlignment="1">
      <alignment horizontal="left" vertical="center"/>
    </xf>
    <xf numFmtId="177" fontId="11" fillId="0" borderId="0" xfId="59" applyNumberFormat="1" applyFont="1" applyAlignment="1" applyProtection="1">
      <alignment horizontal="center" vertical="center"/>
      <protection locked="0"/>
    </xf>
    <xf numFmtId="8" fontId="11" fillId="0" borderId="0" xfId="60" applyNumberFormat="1" applyFont="1" applyAlignment="1" applyProtection="1">
      <alignment horizontal="center" vertical="center" wrapText="1"/>
      <protection locked="0"/>
    </xf>
    <xf numFmtId="178" fontId="11" fillId="0" borderId="0" xfId="60" applyNumberFormat="1" applyFont="1" applyAlignment="1" applyProtection="1">
      <alignment horizontal="center" vertical="center" wrapText="1"/>
      <protection locked="0"/>
    </xf>
    <xf numFmtId="0" fontId="11" fillId="0" borderId="0" xfId="60" applyNumberFormat="1" applyFont="1" applyAlignment="1" applyProtection="1">
      <alignment horizontal="center" vertical="center" wrapText="1"/>
      <protection locked="0"/>
    </xf>
    <xf numFmtId="171" fontId="11" fillId="0" borderId="0" xfId="60" applyNumberFormat="1" applyFont="1" applyAlignment="1" applyProtection="1">
      <alignment horizontal="center" vertical="center" wrapText="1"/>
      <protection locked="0"/>
    </xf>
    <xf numFmtId="0" fontId="11" fillId="30" borderId="0" xfId="0" applyFont="1" applyFill="1" applyAlignment="1">
      <alignment horizontal="center" vertical="center"/>
    </xf>
    <xf numFmtId="0" fontId="11" fillId="0" borderId="0" xfId="26" applyFont="1">
      <alignment vertical="center"/>
    </xf>
    <xf numFmtId="8" fontId="11" fillId="0" borderId="13" xfId="60" applyNumberFormat="1" applyFont="1" applyBorder="1" applyAlignment="1" applyProtection="1">
      <alignment horizontal="center" vertical="center" wrapText="1"/>
      <protection locked="0"/>
    </xf>
    <xf numFmtId="8" fontId="11" fillId="0" borderId="20" xfId="60" applyNumberFormat="1" applyFont="1" applyBorder="1" applyAlignment="1" applyProtection="1">
      <alignment horizontal="center" vertical="center" wrapText="1"/>
      <protection locked="0"/>
    </xf>
    <xf numFmtId="8" fontId="11" fillId="0" borderId="21" xfId="6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59" applyNumberFormat="1" applyFont="1" applyAlignment="1">
      <alignment horizontal="center" vertical="center"/>
    </xf>
    <xf numFmtId="167" fontId="12" fillId="0" borderId="0" xfId="59" applyNumberFormat="1" applyFont="1" applyAlignment="1">
      <alignment horizontal="center" vertical="center"/>
    </xf>
    <xf numFmtId="0" fontId="65" fillId="0" borderId="0" xfId="59" applyNumberFormat="1" applyFont="1" applyAlignment="1" applyProtection="1">
      <alignment horizontal="left" vertical="center"/>
      <protection locked="0"/>
    </xf>
    <xf numFmtId="173" fontId="11" fillId="0" borderId="28" xfId="19" applyNumberFormat="1" applyFont="1" applyBorder="1" applyAlignment="1" applyProtection="1">
      <alignment horizontal="center" vertical="center" wrapText="1"/>
      <protection locked="0"/>
    </xf>
    <xf numFmtId="9" fontId="11" fillId="0" borderId="28" xfId="30" applyFont="1" applyBorder="1" applyAlignment="1" applyProtection="1">
      <alignment vertical="center" wrapText="1"/>
      <protection locked="0"/>
    </xf>
    <xf numFmtId="41" fontId="11" fillId="0" borderId="28" xfId="19" applyNumberFormat="1" applyFont="1" applyBorder="1" applyAlignment="1" applyProtection="1">
      <alignment horizontal="center" vertical="center" wrapText="1"/>
      <protection locked="0"/>
    </xf>
    <xf numFmtId="0" fontId="66" fillId="0" borderId="0" xfId="0" applyFont="1" applyProtection="1">
      <alignment vertical="center"/>
      <protection locked="0"/>
    </xf>
    <xf numFmtId="174" fontId="59" fillId="28" borderId="32" xfId="0" applyNumberFormat="1" applyFont="1" applyFill="1" applyBorder="1" applyAlignment="1">
      <alignment horizontal="center" vertical="center"/>
    </xf>
    <xf numFmtId="0" fontId="59" fillId="0" borderId="10" xfId="0" applyFont="1" applyBorder="1" applyAlignment="1">
      <alignment horizontal="center"/>
    </xf>
    <xf numFmtId="167" fontId="59" fillId="28" borderId="32" xfId="0" applyNumberFormat="1" applyFont="1" applyFill="1" applyBorder="1" applyAlignment="1">
      <alignment horizontal="center" vertical="center"/>
    </xf>
    <xf numFmtId="167" fontId="59" fillId="0" borderId="10" xfId="0" applyNumberFormat="1" applyFont="1" applyBorder="1" applyAlignment="1">
      <alignment horizontal="center"/>
    </xf>
    <xf numFmtId="178" fontId="59" fillId="28" borderId="32" xfId="0" applyNumberFormat="1" applyFont="1" applyFill="1" applyBorder="1" applyAlignment="1">
      <alignment horizontal="center" vertical="center"/>
    </xf>
    <xf numFmtId="178" fontId="59" fillId="0" borderId="10" xfId="0" applyNumberFormat="1" applyFont="1" applyBorder="1" applyAlignment="1">
      <alignment horizontal="center"/>
    </xf>
    <xf numFmtId="164" fontId="57" fillId="0" borderId="10" xfId="19" applyNumberFormat="1" applyFont="1" applyBorder="1" applyAlignment="1">
      <alignment horizontal="center" vertical="center" wrapText="1"/>
    </xf>
    <xf numFmtId="168" fontId="59" fillId="0" borderId="10" xfId="30" applyNumberFormat="1" applyFont="1" applyBorder="1" applyAlignment="1">
      <alignment horizontal="right" vertical="center" wrapText="1"/>
    </xf>
    <xf numFmtId="169" fontId="11" fillId="0" borderId="16" xfId="61" applyNumberFormat="1" applyFont="1" applyBorder="1" applyAlignment="1" applyProtection="1">
      <alignment horizontal="center" vertical="center" wrapText="1"/>
      <protection locked="0"/>
    </xf>
    <xf numFmtId="169" fontId="11" fillId="0" borderId="21" xfId="61" applyNumberFormat="1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0" fillId="0" borderId="0" xfId="0" applyAlignment="1">
      <alignment horizontal="right" vertical="center"/>
    </xf>
    <xf numFmtId="0" fontId="11" fillId="0" borderId="10" xfId="0" applyFont="1" applyBorder="1">
      <alignment vertical="center"/>
    </xf>
    <xf numFmtId="43" fontId="11" fillId="0" borderId="10" xfId="29" applyNumberFormat="1" applyFont="1" applyBorder="1" applyAlignment="1">
      <alignment horizontal="right" vertical="center"/>
    </xf>
    <xf numFmtId="0" fontId="11" fillId="0" borderId="10" xfId="0" applyFont="1" applyBorder="1" applyAlignment="1">
      <alignment vertical="center" wrapText="1"/>
    </xf>
    <xf numFmtId="169" fontId="59" fillId="0" borderId="31" xfId="19" applyNumberFormat="1" applyFont="1" applyBorder="1" applyAlignment="1" applyProtection="1">
      <alignment horizontal="center" vertical="center" wrapText="1"/>
      <protection locked="0"/>
    </xf>
    <xf numFmtId="0" fontId="59" fillId="0" borderId="31" xfId="19" applyNumberFormat="1" applyFont="1" applyBorder="1" applyAlignment="1" applyProtection="1">
      <alignment horizontal="center" vertical="center" wrapText="1"/>
      <protection locked="0"/>
    </xf>
    <xf numFmtId="2" fontId="59" fillId="0" borderId="31" xfId="19" applyNumberFormat="1" applyFont="1" applyBorder="1" applyAlignment="1" applyProtection="1">
      <alignment horizontal="center" vertical="center" wrapText="1"/>
      <protection locked="0"/>
    </xf>
    <xf numFmtId="167" fontId="11" fillId="0" borderId="25" xfId="0" applyNumberFormat="1" applyFont="1" applyBorder="1" applyAlignment="1">
      <alignment horizontal="center" vertical="center"/>
    </xf>
    <xf numFmtId="174" fontId="59" fillId="28" borderId="14" xfId="0" applyNumberFormat="1" applyFont="1" applyFill="1" applyBorder="1" applyAlignment="1">
      <alignment horizontal="center" vertical="center"/>
    </xf>
    <xf numFmtId="0" fontId="11" fillId="0" borderId="11" xfId="61" applyNumberFormat="1" applyFont="1" applyBorder="1" applyAlignment="1" applyProtection="1">
      <alignment horizontal="left" vertical="center"/>
      <protection locked="0"/>
    </xf>
    <xf numFmtId="0" fontId="11" fillId="0" borderId="11" xfId="61" applyNumberFormat="1" applyFont="1" applyBorder="1" applyAlignment="1" applyProtection="1">
      <alignment horizontal="left" vertical="center" wrapText="1"/>
      <protection locked="0"/>
    </xf>
    <xf numFmtId="0" fontId="11" fillId="0" borderId="11" xfId="61" applyNumberFormat="1" applyFont="1" applyBorder="1" applyAlignment="1" applyProtection="1">
      <alignment horizontal="center" vertical="center"/>
      <protection locked="0"/>
    </xf>
    <xf numFmtId="167" fontId="11" fillId="0" borderId="11" xfId="61" applyNumberFormat="1" applyFont="1" applyBorder="1" applyAlignment="1" applyProtection="1">
      <alignment horizontal="center" vertical="center"/>
      <protection locked="0"/>
    </xf>
    <xf numFmtId="0" fontId="11" fillId="0" borderId="11" xfId="61" applyNumberFormat="1" applyFont="1" applyFill="1" applyBorder="1" applyAlignment="1" applyProtection="1">
      <alignment horizontal="center" vertical="center" wrapText="1"/>
      <protection locked="0"/>
    </xf>
    <xf numFmtId="2" fontId="11" fillId="0" borderId="11" xfId="61" applyNumberFormat="1" applyFont="1" applyFill="1" applyBorder="1" applyAlignment="1" applyProtection="1">
      <alignment horizontal="center" vertical="center" wrapText="1"/>
      <protection locked="0"/>
    </xf>
    <xf numFmtId="169" fontId="11" fillId="0" borderId="31" xfId="19" applyNumberFormat="1" applyFont="1" applyBorder="1" applyAlignment="1" applyProtection="1">
      <alignment horizontal="center" vertical="center" wrapText="1"/>
      <protection locked="0"/>
    </xf>
    <xf numFmtId="0" fontId="59" fillId="30" borderId="15" xfId="59" applyNumberFormat="1" applyFont="1" applyFill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64" fontId="11" fillId="0" borderId="28" xfId="59" applyNumberFormat="1" applyFont="1" applyBorder="1" applyAlignment="1">
      <alignment horizontal="center" vertical="center"/>
    </xf>
    <xf numFmtId="167" fontId="12" fillId="0" borderId="28" xfId="59" applyNumberFormat="1" applyFont="1" applyBorder="1" applyAlignment="1">
      <alignment horizontal="center" vertical="center"/>
    </xf>
    <xf numFmtId="164" fontId="11" fillId="0" borderId="15" xfId="19" applyNumberFormat="1" applyFont="1" applyBorder="1" applyAlignment="1" applyProtection="1">
      <alignment horizontal="center" vertical="center" wrapText="1"/>
      <protection locked="0"/>
    </xf>
    <xf numFmtId="0" fontId="11" fillId="0" borderId="20" xfId="20" applyNumberFormat="1" applyFont="1" applyBorder="1" applyAlignment="1" applyProtection="1">
      <alignment horizontal="left" vertical="center"/>
      <protection locked="0"/>
    </xf>
    <xf numFmtId="174" fontId="59" fillId="31" borderId="32" xfId="0" applyNumberFormat="1" applyFont="1" applyFill="1" applyBorder="1" applyAlignment="1">
      <alignment horizontal="left" vertical="center"/>
    </xf>
    <xf numFmtId="0" fontId="59" fillId="31" borderId="20" xfId="20" applyNumberFormat="1" applyFont="1" applyFill="1" applyBorder="1" applyAlignment="1" applyProtection="1">
      <alignment horizontal="left" vertical="center" wrapText="1"/>
      <protection locked="0"/>
    </xf>
    <xf numFmtId="174" fontId="59" fillId="31" borderId="33" xfId="0" applyNumberFormat="1" applyFont="1" applyFill="1" applyBorder="1" applyAlignment="1">
      <alignment horizontal="left" vertical="center"/>
    </xf>
    <xf numFmtId="174" fontId="59" fillId="31" borderId="33" xfId="0" applyNumberFormat="1" applyFont="1" applyFill="1" applyBorder="1" applyAlignment="1">
      <alignment horizontal="center" vertical="center"/>
    </xf>
    <xf numFmtId="174" fontId="59" fillId="31" borderId="32" xfId="0" applyNumberFormat="1" applyFont="1" applyFill="1" applyBorder="1" applyAlignment="1">
      <alignment horizontal="center" vertical="center"/>
    </xf>
    <xf numFmtId="167" fontId="11" fillId="31" borderId="25" xfId="0" applyNumberFormat="1" applyFont="1" applyFill="1" applyBorder="1" applyAlignment="1">
      <alignment horizontal="center" vertical="center"/>
    </xf>
    <xf numFmtId="178" fontId="59" fillId="31" borderId="32" xfId="0" applyNumberFormat="1" applyFont="1" applyFill="1" applyBorder="1" applyAlignment="1">
      <alignment horizontal="center" vertical="center"/>
    </xf>
    <xf numFmtId="0" fontId="59" fillId="31" borderId="15" xfId="58" applyFont="1" applyFill="1" applyBorder="1" applyAlignment="1">
      <alignment horizontal="center" vertical="center"/>
    </xf>
    <xf numFmtId="0" fontId="59" fillId="31" borderId="25" xfId="58" applyFont="1" applyFill="1" applyBorder="1" applyAlignment="1">
      <alignment horizontal="center" vertical="center"/>
    </xf>
    <xf numFmtId="174" fontId="11" fillId="25" borderId="47" xfId="0" applyNumberFormat="1" applyFont="1" applyFill="1" applyBorder="1" applyAlignment="1">
      <alignment horizontal="left" vertical="center"/>
    </xf>
    <xf numFmtId="174" fontId="11" fillId="25" borderId="46" xfId="0" applyNumberFormat="1" applyFont="1" applyFill="1" applyBorder="1" applyAlignment="1">
      <alignment horizontal="left" vertical="center"/>
    </xf>
    <xf numFmtId="174" fontId="11" fillId="25" borderId="46" xfId="0" applyNumberFormat="1" applyFont="1" applyFill="1" applyBorder="1" applyAlignment="1">
      <alignment horizontal="center" vertical="center"/>
    </xf>
    <xf numFmtId="174" fontId="59" fillId="28" borderId="48" xfId="0" applyNumberFormat="1" applyFont="1" applyFill="1" applyBorder="1" applyAlignment="1">
      <alignment horizontal="left" vertical="center"/>
    </xf>
    <xf numFmtId="174" fontId="59" fillId="28" borderId="48" xfId="0" applyNumberFormat="1" applyFont="1" applyFill="1" applyBorder="1" applyAlignment="1">
      <alignment horizontal="center" vertical="center"/>
    </xf>
    <xf numFmtId="167" fontId="59" fillId="28" borderId="48" xfId="0" applyNumberFormat="1" applyFont="1" applyFill="1" applyBorder="1" applyAlignment="1">
      <alignment horizontal="center" vertical="center"/>
    </xf>
    <xf numFmtId="178" fontId="59" fillId="28" borderId="48" xfId="0" applyNumberFormat="1" applyFont="1" applyFill="1" applyBorder="1" applyAlignment="1">
      <alignment horizontal="center" vertical="center"/>
    </xf>
    <xf numFmtId="0" fontId="59" fillId="0" borderId="13" xfId="59" applyNumberFormat="1" applyFont="1" applyBorder="1" applyAlignment="1" applyProtection="1">
      <alignment horizontal="center" vertical="center" wrapText="1"/>
      <protection locked="0"/>
    </xf>
    <xf numFmtId="174" fontId="59" fillId="28" borderId="41" xfId="0" applyNumberFormat="1" applyFont="1" applyFill="1" applyBorder="1" applyAlignment="1">
      <alignment horizontal="left" vertical="center"/>
    </xf>
    <xf numFmtId="174" fontId="59" fillId="28" borderId="41" xfId="0" applyNumberFormat="1" applyFont="1" applyFill="1" applyBorder="1" applyAlignment="1">
      <alignment horizontal="center" vertical="center"/>
    </xf>
    <xf numFmtId="167" fontId="59" fillId="28" borderId="41" xfId="0" applyNumberFormat="1" applyFont="1" applyFill="1" applyBorder="1" applyAlignment="1">
      <alignment horizontal="center" vertical="center"/>
    </xf>
    <xf numFmtId="178" fontId="59" fillId="28" borderId="41" xfId="0" applyNumberFormat="1" applyFont="1" applyFill="1" applyBorder="1" applyAlignment="1">
      <alignment horizontal="center" vertical="center"/>
    </xf>
    <xf numFmtId="0" fontId="59" fillId="0" borderId="21" xfId="59" applyNumberFormat="1" applyFont="1" applyBorder="1" applyAlignment="1" applyProtection="1">
      <alignment horizontal="center" vertical="center" wrapText="1"/>
      <protection locked="0"/>
    </xf>
    <xf numFmtId="0" fontId="11" fillId="0" borderId="15" xfId="20" applyNumberFormat="1" applyFont="1" applyBorder="1" applyAlignment="1" applyProtection="1">
      <alignment horizontal="left" vertical="center" wrapText="1"/>
      <protection locked="0"/>
    </xf>
    <xf numFmtId="174" fontId="11" fillId="25" borderId="32" xfId="0" applyNumberFormat="1" applyFont="1" applyFill="1" applyBorder="1" applyAlignment="1">
      <alignment horizontal="center" vertical="center"/>
    </xf>
    <xf numFmtId="167" fontId="11" fillId="25" borderId="32" xfId="0" applyNumberFormat="1" applyFont="1" applyFill="1" applyBorder="1" applyAlignment="1">
      <alignment horizontal="center" vertical="center"/>
    </xf>
    <xf numFmtId="178" fontId="11" fillId="25" borderId="32" xfId="0" applyNumberFormat="1" applyFont="1" applyFill="1" applyBorder="1" applyAlignment="1">
      <alignment horizontal="center" vertical="center"/>
    </xf>
    <xf numFmtId="0" fontId="11" fillId="29" borderId="15" xfId="59" applyNumberFormat="1" applyFont="1" applyFill="1" applyBorder="1" applyAlignment="1" applyProtection="1">
      <alignment horizontal="center" vertical="center" wrapText="1"/>
      <protection locked="0"/>
    </xf>
    <xf numFmtId="0" fontId="11" fillId="0" borderId="20" xfId="20" applyNumberFormat="1" applyFont="1" applyBorder="1" applyAlignment="1" applyProtection="1">
      <alignment horizontal="left" vertical="center" wrapText="1"/>
      <protection locked="0"/>
    </xf>
    <xf numFmtId="0" fontId="11" fillId="29" borderId="20" xfId="59" applyNumberFormat="1" applyFont="1" applyFill="1" applyBorder="1" applyAlignment="1" applyProtection="1">
      <alignment horizontal="center" vertical="center" wrapText="1"/>
      <protection locked="0"/>
    </xf>
    <xf numFmtId="174" fontId="11" fillId="28" borderId="32" xfId="0" applyNumberFormat="1" applyFont="1" applyFill="1" applyBorder="1" applyAlignment="1">
      <alignment horizontal="center" vertical="center"/>
    </xf>
    <xf numFmtId="167" fontId="11" fillId="28" borderId="32" xfId="0" applyNumberFormat="1" applyFont="1" applyFill="1" applyBorder="1" applyAlignment="1">
      <alignment horizontal="center" vertical="center"/>
    </xf>
    <xf numFmtId="178" fontId="11" fillId="28" borderId="32" xfId="0" applyNumberFormat="1" applyFont="1" applyFill="1" applyBorder="1" applyAlignment="1">
      <alignment horizontal="center" vertical="center"/>
    </xf>
    <xf numFmtId="0" fontId="11" fillId="0" borderId="20" xfId="59" applyNumberFormat="1" applyFont="1" applyBorder="1" applyAlignment="1" applyProtection="1">
      <alignment horizontal="center" vertical="center" wrapText="1"/>
      <protection locked="0"/>
    </xf>
    <xf numFmtId="174" fontId="11" fillId="25" borderId="40" xfId="0" applyNumberFormat="1" applyFont="1" applyFill="1" applyBorder="1" applyAlignment="1">
      <alignment horizontal="left" vertical="center"/>
    </xf>
    <xf numFmtId="174" fontId="11" fillId="25" borderId="34" xfId="0" applyNumberFormat="1" applyFont="1" applyFill="1" applyBorder="1" applyAlignment="1">
      <alignment horizontal="left" vertical="center"/>
    </xf>
    <xf numFmtId="174" fontId="11" fillId="25" borderId="34" xfId="0" applyNumberFormat="1" applyFont="1" applyFill="1" applyBorder="1" applyAlignment="1">
      <alignment horizontal="center" vertical="center"/>
    </xf>
    <xf numFmtId="174" fontId="11" fillId="25" borderId="40" xfId="0" applyNumberFormat="1" applyFont="1" applyFill="1" applyBorder="1" applyAlignment="1">
      <alignment horizontal="center" vertical="center"/>
    </xf>
    <xf numFmtId="167" fontId="11" fillId="25" borderId="40" xfId="0" applyNumberFormat="1" applyFont="1" applyFill="1" applyBorder="1" applyAlignment="1">
      <alignment horizontal="center" vertical="center"/>
    </xf>
    <xf numFmtId="178" fontId="11" fillId="25" borderId="40" xfId="0" applyNumberFormat="1" applyFont="1" applyFill="1" applyBorder="1" applyAlignment="1">
      <alignment horizontal="center" vertical="center"/>
    </xf>
    <xf numFmtId="0" fontId="11" fillId="0" borderId="21" xfId="20" applyNumberFormat="1" applyFont="1" applyBorder="1" applyAlignment="1" applyProtection="1">
      <alignment horizontal="left" vertical="center" wrapText="1"/>
      <protection locked="0"/>
    </xf>
    <xf numFmtId="174" fontId="11" fillId="25" borderId="41" xfId="0" applyNumberFormat="1" applyFont="1" applyFill="1" applyBorder="1" applyAlignment="1">
      <alignment horizontal="left" vertical="center"/>
    </xf>
    <xf numFmtId="174" fontId="11" fillId="25" borderId="28" xfId="0" applyNumberFormat="1" applyFont="1" applyFill="1" applyBorder="1" applyAlignment="1">
      <alignment horizontal="left" vertical="center"/>
    </xf>
    <xf numFmtId="174" fontId="11" fillId="25" borderId="28" xfId="0" applyNumberFormat="1" applyFont="1" applyFill="1" applyBorder="1" applyAlignment="1">
      <alignment horizontal="center" vertical="center"/>
    </xf>
    <xf numFmtId="174" fontId="11" fillId="25" borderId="41" xfId="0" applyNumberFormat="1" applyFont="1" applyFill="1" applyBorder="1" applyAlignment="1">
      <alignment horizontal="center" vertical="center"/>
    </xf>
    <xf numFmtId="167" fontId="11" fillId="25" borderId="41" xfId="0" applyNumberFormat="1" applyFont="1" applyFill="1" applyBorder="1" applyAlignment="1">
      <alignment horizontal="center" vertical="center"/>
    </xf>
    <xf numFmtId="178" fontId="11" fillId="25" borderId="41" xfId="0" applyNumberFormat="1" applyFont="1" applyFill="1" applyBorder="1" applyAlignment="1">
      <alignment horizontal="center" vertical="center"/>
    </xf>
    <xf numFmtId="0" fontId="11" fillId="29" borderId="21" xfId="59" applyNumberFormat="1" applyFont="1" applyFill="1" applyBorder="1" applyAlignment="1" applyProtection="1">
      <alignment horizontal="center" vertical="center" wrapText="1"/>
      <protection locked="0"/>
    </xf>
    <xf numFmtId="0" fontId="11" fillId="0" borderId="13" xfId="20" applyNumberFormat="1" applyFont="1" applyBorder="1" applyAlignment="1" applyProtection="1">
      <alignment horizontal="left" vertical="center"/>
      <protection locked="0"/>
    </xf>
    <xf numFmtId="0" fontId="11" fillId="0" borderId="13" xfId="20" applyNumberFormat="1" applyFont="1" applyBorder="1" applyAlignment="1" applyProtection="1">
      <alignment horizontal="left" vertical="center" wrapText="1"/>
      <protection locked="0"/>
    </xf>
    <xf numFmtId="174" fontId="11" fillId="30" borderId="36" xfId="0" applyNumberFormat="1" applyFont="1" applyFill="1" applyBorder="1" applyAlignment="1">
      <alignment horizontal="left" vertical="center"/>
    </xf>
    <xf numFmtId="174" fontId="11" fillId="30" borderId="37" xfId="0" applyNumberFormat="1" applyFont="1" applyFill="1" applyBorder="1" applyAlignment="1">
      <alignment horizontal="left" vertical="center"/>
    </xf>
    <xf numFmtId="174" fontId="11" fillId="30" borderId="14" xfId="0" applyNumberFormat="1" applyFont="1" applyFill="1" applyBorder="1" applyAlignment="1">
      <alignment horizontal="center" vertical="center"/>
    </xf>
    <xf numFmtId="174" fontId="11" fillId="30" borderId="36" xfId="0" applyNumberFormat="1" applyFont="1" applyFill="1" applyBorder="1" applyAlignment="1">
      <alignment horizontal="center" vertical="center"/>
    </xf>
    <xf numFmtId="167" fontId="11" fillId="30" borderId="36" xfId="0" applyNumberFormat="1" applyFont="1" applyFill="1" applyBorder="1" applyAlignment="1">
      <alignment horizontal="center" vertical="center"/>
    </xf>
    <xf numFmtId="178" fontId="11" fillId="30" borderId="36" xfId="0" applyNumberFormat="1" applyFont="1" applyFill="1" applyBorder="1" applyAlignment="1">
      <alignment horizontal="center" vertical="center"/>
    </xf>
    <xf numFmtId="0" fontId="11" fillId="0" borderId="13" xfId="61" applyNumberFormat="1" applyFont="1" applyBorder="1" applyAlignment="1" applyProtection="1">
      <alignment horizontal="center" vertical="center" wrapText="1"/>
      <protection locked="0"/>
    </xf>
    <xf numFmtId="2" fontId="11" fillId="0" borderId="13" xfId="61" applyNumberFormat="1" applyFont="1" applyBorder="1" applyAlignment="1" applyProtection="1">
      <alignment horizontal="center" vertical="center" wrapText="1"/>
      <protection locked="0"/>
    </xf>
    <xf numFmtId="0" fontId="11" fillId="29" borderId="20" xfId="20" applyNumberFormat="1" applyFont="1" applyFill="1" applyBorder="1" applyAlignment="1" applyProtection="1">
      <alignment horizontal="left" vertical="center" wrapText="1"/>
      <protection locked="0"/>
    </xf>
    <xf numFmtId="174" fontId="11" fillId="29" borderId="25" xfId="0" applyNumberFormat="1" applyFont="1" applyFill="1" applyBorder="1" applyAlignment="1">
      <alignment horizontal="left" vertical="center"/>
    </xf>
    <xf numFmtId="174" fontId="11" fillId="29" borderId="33" xfId="0" applyNumberFormat="1" applyFont="1" applyFill="1" applyBorder="1" applyAlignment="1">
      <alignment horizontal="left" vertical="center"/>
    </xf>
    <xf numFmtId="174" fontId="11" fillId="29" borderId="31" xfId="0" applyNumberFormat="1" applyFont="1" applyFill="1" applyBorder="1" applyAlignment="1">
      <alignment horizontal="center" vertical="center"/>
    </xf>
    <xf numFmtId="174" fontId="11" fillId="29" borderId="25" xfId="0" applyNumberFormat="1" applyFont="1" applyFill="1" applyBorder="1" applyAlignment="1">
      <alignment horizontal="center" vertical="center"/>
    </xf>
    <xf numFmtId="167" fontId="11" fillId="29" borderId="25" xfId="0" applyNumberFormat="1" applyFont="1" applyFill="1" applyBorder="1" applyAlignment="1">
      <alignment horizontal="center" vertical="center"/>
    </xf>
    <xf numFmtId="178" fontId="11" fillId="29" borderId="25" xfId="0" applyNumberFormat="1" applyFont="1" applyFill="1" applyBorder="1" applyAlignment="1">
      <alignment horizontal="center" vertical="center"/>
    </xf>
    <xf numFmtId="0" fontId="11" fillId="29" borderId="20" xfId="61" applyNumberFormat="1" applyFont="1" applyFill="1" applyBorder="1" applyAlignment="1" applyProtection="1">
      <alignment horizontal="center" vertical="center" wrapText="1"/>
      <protection locked="0"/>
    </xf>
    <xf numFmtId="2" fontId="11" fillId="29" borderId="20" xfId="61" applyNumberFormat="1" applyFont="1" applyFill="1" applyBorder="1" applyAlignment="1" applyProtection="1">
      <alignment horizontal="center" vertical="center" wrapText="1"/>
      <protection locked="0"/>
    </xf>
    <xf numFmtId="174" fontId="11" fillId="30" borderId="25" xfId="0" applyNumberFormat="1" applyFont="1" applyFill="1" applyBorder="1" applyAlignment="1">
      <alignment horizontal="left" vertical="center"/>
    </xf>
    <xf numFmtId="174" fontId="11" fillId="30" borderId="33" xfId="0" applyNumberFormat="1" applyFont="1" applyFill="1" applyBorder="1" applyAlignment="1">
      <alignment horizontal="left" vertical="center"/>
    </xf>
    <xf numFmtId="174" fontId="11" fillId="30" borderId="31" xfId="0" applyNumberFormat="1" applyFont="1" applyFill="1" applyBorder="1" applyAlignment="1">
      <alignment horizontal="center" vertical="center"/>
    </xf>
    <xf numFmtId="174" fontId="11" fillId="30" borderId="25" xfId="0" applyNumberFormat="1" applyFont="1" applyFill="1" applyBorder="1" applyAlignment="1">
      <alignment horizontal="center" vertical="center"/>
    </xf>
    <xf numFmtId="167" fontId="11" fillId="30" borderId="25" xfId="0" applyNumberFormat="1" applyFont="1" applyFill="1" applyBorder="1" applyAlignment="1">
      <alignment horizontal="center" vertical="center"/>
    </xf>
    <xf numFmtId="178" fontId="11" fillId="30" borderId="25" xfId="0" applyNumberFormat="1" applyFont="1" applyFill="1" applyBorder="1" applyAlignment="1">
      <alignment horizontal="center" vertical="center"/>
    </xf>
    <xf numFmtId="0" fontId="11" fillId="0" borderId="20" xfId="61" applyNumberFormat="1" applyFont="1" applyBorder="1" applyAlignment="1" applyProtection="1">
      <alignment horizontal="center" vertical="center" wrapText="1"/>
      <protection locked="0"/>
    </xf>
    <xf numFmtId="2" fontId="11" fillId="0" borderId="20" xfId="61" applyNumberFormat="1" applyFont="1" applyBorder="1" applyAlignment="1" applyProtection="1">
      <alignment horizontal="center" vertical="center" wrapText="1"/>
      <protection locked="0"/>
    </xf>
    <xf numFmtId="0" fontId="11" fillId="0" borderId="21" xfId="20" applyNumberFormat="1" applyFont="1" applyBorder="1" applyAlignment="1" applyProtection="1">
      <alignment horizontal="left" vertical="center"/>
      <protection locked="0"/>
    </xf>
    <xf numFmtId="0" fontId="11" fillId="29" borderId="21" xfId="20" applyNumberFormat="1" applyFont="1" applyFill="1" applyBorder="1" applyAlignment="1" applyProtection="1">
      <alignment horizontal="left" vertical="center" wrapText="1"/>
      <protection locked="0"/>
    </xf>
    <xf numFmtId="174" fontId="11" fillId="29" borderId="38" xfId="0" applyNumberFormat="1" applyFont="1" applyFill="1" applyBorder="1" applyAlignment="1">
      <alignment horizontal="left" vertical="center"/>
    </xf>
    <xf numFmtId="174" fontId="11" fillId="29" borderId="28" xfId="0" applyNumberFormat="1" applyFont="1" applyFill="1" applyBorder="1" applyAlignment="1">
      <alignment horizontal="left" vertical="center"/>
    </xf>
    <xf numFmtId="174" fontId="11" fillId="29" borderId="43" xfId="0" applyNumberFormat="1" applyFont="1" applyFill="1" applyBorder="1" applyAlignment="1">
      <alignment horizontal="center" vertical="center"/>
    </xf>
    <xf numFmtId="174" fontId="11" fillId="29" borderId="38" xfId="0" applyNumberFormat="1" applyFont="1" applyFill="1" applyBorder="1" applyAlignment="1">
      <alignment horizontal="center" vertical="center"/>
    </xf>
    <xf numFmtId="167" fontId="11" fillId="29" borderId="38" xfId="0" applyNumberFormat="1" applyFont="1" applyFill="1" applyBorder="1" applyAlignment="1">
      <alignment horizontal="center" vertical="center"/>
    </xf>
    <xf numFmtId="178" fontId="11" fillId="29" borderId="38" xfId="0" applyNumberFormat="1" applyFont="1" applyFill="1" applyBorder="1" applyAlignment="1">
      <alignment horizontal="center" vertical="center"/>
    </xf>
    <xf numFmtId="0" fontId="11" fillId="29" borderId="21" xfId="61" applyNumberFormat="1" applyFont="1" applyFill="1" applyBorder="1" applyAlignment="1" applyProtection="1">
      <alignment horizontal="center" vertical="center" wrapText="1"/>
      <protection locked="0"/>
    </xf>
    <xf numFmtId="2" fontId="11" fillId="29" borderId="21" xfId="61" applyNumberFormat="1" applyFont="1" applyFill="1" applyBorder="1" applyAlignment="1" applyProtection="1">
      <alignment horizontal="center" vertical="center" wrapText="1"/>
      <protection locked="0"/>
    </xf>
    <xf numFmtId="0" fontId="11" fillId="0" borderId="15" xfId="58" applyFont="1" applyBorder="1" applyAlignment="1">
      <alignment horizontal="center" vertical="center"/>
    </xf>
    <xf numFmtId="0" fontId="11" fillId="0" borderId="20" xfId="58" applyFont="1" applyBorder="1" applyAlignment="1">
      <alignment horizontal="center" vertical="center"/>
    </xf>
    <xf numFmtId="0" fontId="11" fillId="0" borderId="17" xfId="58" applyFont="1" applyBorder="1" applyAlignment="1">
      <alignment horizontal="center" vertical="center"/>
    </xf>
    <xf numFmtId="0" fontId="11" fillId="0" borderId="28" xfId="0" applyFont="1" applyBorder="1" applyAlignment="1">
      <alignment horizontal="left"/>
    </xf>
    <xf numFmtId="0" fontId="11" fillId="0" borderId="28" xfId="0" applyFont="1" applyBorder="1" applyAlignment="1">
      <alignment horizontal="center" vertical="center" wrapText="1"/>
    </xf>
    <xf numFmtId="174" fontId="59" fillId="28" borderId="47" xfId="0" applyNumberFormat="1" applyFont="1" applyFill="1" applyBorder="1" applyAlignment="1">
      <alignment horizontal="left" vertical="center"/>
    </xf>
    <xf numFmtId="174" fontId="59" fillId="28" borderId="46" xfId="0" applyNumberFormat="1" applyFont="1" applyFill="1" applyBorder="1" applyAlignment="1">
      <alignment horizontal="left" vertical="center"/>
    </xf>
    <xf numFmtId="174" fontId="59" fillId="28" borderId="46" xfId="0" applyNumberFormat="1" applyFont="1" applyFill="1" applyBorder="1" applyAlignment="1">
      <alignment horizontal="center" vertical="center"/>
    </xf>
    <xf numFmtId="0" fontId="59" fillId="0" borderId="21" xfId="58" applyFont="1" applyBorder="1" applyAlignment="1">
      <alignment horizontal="center" vertical="center"/>
    </xf>
    <xf numFmtId="167" fontId="11" fillId="0" borderId="49" xfId="0" applyNumberFormat="1" applyFont="1" applyBorder="1" applyAlignment="1">
      <alignment horizontal="center" vertical="center"/>
    </xf>
    <xf numFmtId="2" fontId="11" fillId="0" borderId="14" xfId="61" applyNumberFormat="1" applyFont="1" applyBorder="1" applyAlignment="1" applyProtection="1">
      <alignment horizontal="center" vertical="center"/>
      <protection locked="0"/>
    </xf>
    <xf numFmtId="2" fontId="11" fillId="0" borderId="16" xfId="61" applyNumberFormat="1" applyFont="1" applyBorder="1" applyAlignment="1" applyProtection="1">
      <alignment horizontal="center" vertical="center"/>
      <protection locked="0"/>
    </xf>
    <xf numFmtId="2" fontId="11" fillId="0" borderId="0" xfId="0" applyNumberFormat="1" applyFont="1" applyAlignment="1">
      <alignment horizontal="center" vertical="top"/>
    </xf>
    <xf numFmtId="2" fontId="11" fillId="0" borderId="13" xfId="61" applyNumberFormat="1" applyFont="1" applyBorder="1" applyAlignment="1" applyProtection="1">
      <alignment horizontal="center" vertical="center"/>
      <protection locked="0"/>
    </xf>
    <xf numFmtId="2" fontId="11" fillId="0" borderId="20" xfId="61" applyNumberFormat="1" applyFont="1" applyBorder="1" applyAlignment="1" applyProtection="1">
      <alignment horizontal="center" vertical="center"/>
      <protection locked="0"/>
    </xf>
    <xf numFmtId="2" fontId="11" fillId="0" borderId="21" xfId="61" applyNumberFormat="1" applyFont="1" applyBorder="1" applyAlignment="1" applyProtection="1">
      <alignment horizontal="center" vertical="center"/>
      <protection locked="0"/>
    </xf>
    <xf numFmtId="0" fontId="5" fillId="27" borderId="0" xfId="0" applyFont="1" applyFill="1" applyProtection="1">
      <alignment vertical="center"/>
      <protection locked="0"/>
    </xf>
    <xf numFmtId="175" fontId="5" fillId="27" borderId="0" xfId="0" applyNumberFormat="1" applyFont="1" applyFill="1" applyProtection="1">
      <alignment vertical="center"/>
      <protection locked="0"/>
    </xf>
    <xf numFmtId="0" fontId="5" fillId="27" borderId="0" xfId="0" applyFont="1" applyFill="1" applyAlignment="1" applyProtection="1">
      <alignment horizontal="left" vertical="center" wrapText="1"/>
      <protection locked="0"/>
    </xf>
    <xf numFmtId="0" fontId="5" fillId="27" borderId="0" xfId="0" applyFont="1" applyFill="1" applyAlignment="1" applyProtection="1">
      <alignment horizontal="left" vertical="center"/>
      <protection locked="0"/>
    </xf>
    <xf numFmtId="175" fontId="5" fillId="27" borderId="0" xfId="0" applyNumberFormat="1" applyFont="1" applyFill="1" applyAlignment="1" applyProtection="1">
      <alignment vertical="center" shrinkToFit="1"/>
      <protection locked="0"/>
    </xf>
    <xf numFmtId="0" fontId="5" fillId="27" borderId="30" xfId="0" applyFont="1" applyFill="1" applyBorder="1" applyProtection="1">
      <alignment vertical="center"/>
      <protection locked="0"/>
    </xf>
  </cellXfs>
  <cellStyles count="62">
    <cellStyle name="20% - 강조색1" xfId="1" xr:uid="{00000000-0005-0000-0000-000000000000}"/>
    <cellStyle name="20% - 강조색2" xfId="2" xr:uid="{00000000-0005-0000-0000-000001000000}"/>
    <cellStyle name="20% - 강조색3" xfId="3" xr:uid="{00000000-0005-0000-0000-000002000000}"/>
    <cellStyle name="20% - 강조색4" xfId="4" xr:uid="{00000000-0005-0000-0000-000003000000}"/>
    <cellStyle name="20% - 강조색5" xfId="5" xr:uid="{00000000-0005-0000-0000-000004000000}"/>
    <cellStyle name="20% - 강조색6" xfId="6" xr:uid="{00000000-0005-0000-0000-000005000000}"/>
    <cellStyle name="40% - 강조색1" xfId="7" xr:uid="{00000000-0005-0000-0000-000006000000}"/>
    <cellStyle name="40% - 강조색2" xfId="8" xr:uid="{00000000-0005-0000-0000-000007000000}"/>
    <cellStyle name="40% - 강조색3" xfId="9" xr:uid="{00000000-0005-0000-0000-000008000000}"/>
    <cellStyle name="40% - 강조색4" xfId="10" xr:uid="{00000000-0005-0000-0000-000009000000}"/>
    <cellStyle name="40% - 강조색5" xfId="11" xr:uid="{00000000-0005-0000-0000-00000A000000}"/>
    <cellStyle name="40% - 강조색6" xfId="12" xr:uid="{00000000-0005-0000-0000-00000B000000}"/>
    <cellStyle name="60% - 강조색1" xfId="13" xr:uid="{00000000-0005-0000-0000-00000C000000}"/>
    <cellStyle name="60% - 강조색2" xfId="14" xr:uid="{00000000-0005-0000-0000-00000D000000}"/>
    <cellStyle name="60% - 강조색3" xfId="15" xr:uid="{00000000-0005-0000-0000-00000E000000}"/>
    <cellStyle name="60% - 강조색4" xfId="16" xr:uid="{00000000-0005-0000-0000-00000F000000}"/>
    <cellStyle name="60% - 강조색5" xfId="17" xr:uid="{00000000-0005-0000-0000-000010000000}"/>
    <cellStyle name="60% - 강조색6" xfId="18" xr:uid="{00000000-0005-0000-0000-000011000000}"/>
    <cellStyle name="Comma" xfId="19" builtinId="3"/>
    <cellStyle name="Comma 10 2" xfId="60" xr:uid="{F850D7C3-59C8-4594-98DD-A792D0B40852}"/>
    <cellStyle name="Comma 12" xfId="59" xr:uid="{00000000-0005-0000-0000-000013000000}"/>
    <cellStyle name="Comma 12 2" xfId="61" xr:uid="{E4E2DD8B-CC2F-408E-ACBF-EFF7941A2078}"/>
    <cellStyle name="Comma 2" xfId="20" xr:uid="{00000000-0005-0000-0000-000014000000}"/>
    <cellStyle name="Comma_Auganica Products Design + Cost" xfId="21" xr:uid="{00000000-0005-0000-0000-000015000000}"/>
    <cellStyle name="Hyperlink" xfId="22" builtinId="8"/>
    <cellStyle name="Hyperlink 2" xfId="23" xr:uid="{00000000-0005-0000-0000-000017000000}"/>
    <cellStyle name="Normal" xfId="0" builtinId="0"/>
    <cellStyle name="Normal 2" xfId="24" xr:uid="{00000000-0005-0000-0000-000019000000}"/>
    <cellStyle name="Normal 2 2" xfId="58" xr:uid="{00000000-0005-0000-0000-00001A000000}"/>
    <cellStyle name="Normal 3" xfId="25" xr:uid="{00000000-0005-0000-0000-00001B000000}"/>
    <cellStyle name="Normal_aromatica&amp;AUGANICA costing" xfId="26" xr:uid="{00000000-0005-0000-0000-00001C000000}"/>
    <cellStyle name="Normal_Auganica Products Design + Cost_Formula_Skin Care with sub ingredients12" xfId="27" xr:uid="{00000000-0005-0000-0000-00001D000000}"/>
    <cellStyle name="Normal_Ausganica Product Prices" xfId="28" xr:uid="{00000000-0005-0000-0000-00001E000000}"/>
    <cellStyle name="Normal_Copy of RawMaterial" xfId="29" xr:uid="{00000000-0005-0000-0000-00001F000000}"/>
    <cellStyle name="Percent" xfId="30" builtinId="5"/>
    <cellStyle name="Percent 2" xfId="31" xr:uid="{00000000-0005-0000-0000-000021000000}"/>
    <cellStyle name="강조색1" xfId="32" xr:uid="{00000000-0005-0000-0000-000022000000}"/>
    <cellStyle name="강조색2" xfId="33" xr:uid="{00000000-0005-0000-0000-000023000000}"/>
    <cellStyle name="강조색3" xfId="34" xr:uid="{00000000-0005-0000-0000-000024000000}"/>
    <cellStyle name="강조색4" xfId="35" xr:uid="{00000000-0005-0000-0000-000025000000}"/>
    <cellStyle name="강조색5" xfId="36" xr:uid="{00000000-0005-0000-0000-000026000000}"/>
    <cellStyle name="강조색6" xfId="37" xr:uid="{00000000-0005-0000-0000-000027000000}"/>
    <cellStyle name="경고문" xfId="38" xr:uid="{00000000-0005-0000-0000-000028000000}"/>
    <cellStyle name="계산" xfId="39" xr:uid="{00000000-0005-0000-0000-000029000000}"/>
    <cellStyle name="나쁨" xfId="41" xr:uid="{00000000-0005-0000-0000-00002A000000}"/>
    <cellStyle name="메모" xfId="42" xr:uid="{00000000-0005-0000-0000-00002B000000}"/>
    <cellStyle name="보통" xfId="43" xr:uid="{00000000-0005-0000-0000-00002C000000}"/>
    <cellStyle name="설명 텍스트" xfId="44" xr:uid="{00000000-0005-0000-0000-00002D000000}"/>
    <cellStyle name="셀 확인" xfId="45" xr:uid="{00000000-0005-0000-0000-00002E000000}"/>
    <cellStyle name="스타일 1" xfId="46" xr:uid="{00000000-0005-0000-0000-00002F000000}"/>
    <cellStyle name="연결된 셀" xfId="47" xr:uid="{00000000-0005-0000-0000-000030000000}"/>
    <cellStyle name="요약" xfId="48" xr:uid="{00000000-0005-0000-0000-000031000000}"/>
    <cellStyle name="입력" xfId="49" xr:uid="{00000000-0005-0000-0000-000032000000}"/>
    <cellStyle name="제목" xfId="50" xr:uid="{00000000-0005-0000-0000-000033000000}"/>
    <cellStyle name="제목 1" xfId="51" xr:uid="{00000000-0005-0000-0000-000034000000}"/>
    <cellStyle name="제목 2" xfId="52" xr:uid="{00000000-0005-0000-0000-000035000000}"/>
    <cellStyle name="제목 3" xfId="53" xr:uid="{00000000-0005-0000-0000-000036000000}"/>
    <cellStyle name="제목 4" xfId="54" xr:uid="{00000000-0005-0000-0000-000037000000}"/>
    <cellStyle name="좋음" xfId="55" xr:uid="{00000000-0005-0000-0000-000038000000}"/>
    <cellStyle name="출력" xfId="56" xr:uid="{00000000-0005-0000-0000-000039000000}"/>
    <cellStyle name="표준_2007수출인보이스" xfId="57" xr:uid="{00000000-0005-0000-0000-00003A000000}"/>
    <cellStyle name="標準_INCI名一覧（亀川さんより）050324" xfId="40" xr:uid="{00000000-0005-0000-0000-00003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imageview('005000000036.jpg','0')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javascript:imageview('005000000036.jpg','0')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49" name="AutoShape 806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50" name="AutoShape 807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51" name="AutoShape 808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52" name="AutoShape 8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53" name="AutoShape 8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54" name="AutoShape 8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55" name="AutoShape 8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297180</xdr:colOff>
      <xdr:row>347</xdr:row>
      <xdr:rowOff>0</xdr:rowOff>
    </xdr:to>
    <xdr:sp macro="" textlink="">
      <xdr:nvSpPr>
        <xdr:cNvPr id="2056" name="AutoShape 1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297180</xdr:colOff>
      <xdr:row>347</xdr:row>
      <xdr:rowOff>0</xdr:rowOff>
    </xdr:to>
    <xdr:sp macro="" textlink="">
      <xdr:nvSpPr>
        <xdr:cNvPr id="2057" name="AutoShape 2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297180</xdr:colOff>
      <xdr:row>347</xdr:row>
      <xdr:rowOff>0</xdr:rowOff>
    </xdr:to>
    <xdr:sp macro="" textlink="">
      <xdr:nvSpPr>
        <xdr:cNvPr id="2058" name="AutoShape 11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297180</xdr:colOff>
      <xdr:row>347</xdr:row>
      <xdr:rowOff>0</xdr:rowOff>
    </xdr:to>
    <xdr:sp macro="" textlink="">
      <xdr:nvSpPr>
        <xdr:cNvPr id="2059" name="AutoShape 12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297180</xdr:colOff>
      <xdr:row>347</xdr:row>
      <xdr:rowOff>0</xdr:rowOff>
    </xdr:to>
    <xdr:sp macro="" textlink="">
      <xdr:nvSpPr>
        <xdr:cNvPr id="2060" name="AutoShape 809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297180</xdr:colOff>
      <xdr:row>347</xdr:row>
      <xdr:rowOff>0</xdr:rowOff>
    </xdr:to>
    <xdr:sp macro="" textlink="">
      <xdr:nvSpPr>
        <xdr:cNvPr id="2061" name="AutoShape 810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297180</xdr:colOff>
      <xdr:row>347</xdr:row>
      <xdr:rowOff>0</xdr:rowOff>
    </xdr:to>
    <xdr:sp macro="" textlink="">
      <xdr:nvSpPr>
        <xdr:cNvPr id="2062" name="AutoShape 811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297180</xdr:colOff>
      <xdr:row>347</xdr:row>
      <xdr:rowOff>0</xdr:rowOff>
    </xdr:to>
    <xdr:sp macro="" textlink="">
      <xdr:nvSpPr>
        <xdr:cNvPr id="2063" name="AutoShape 812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64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65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66" name="Auto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67" name="AutoShap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68" name="AutoShap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69" name="Auto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70" name="Auto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71" name="Auto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72" name="Auto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73" name="Auto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74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75" name="Auto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76" name="Auto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77" name="AutoShap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78" name="AutoShape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79" name="Auto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80" name="AutoShape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81" name="AutoShape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82" name="AutoShape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83" name="AutoShape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84" name="AutoShape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85" name="AutoShape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86" name="AutoShape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87" name="AutoShape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88" name="AutoShape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89" name="AutoShape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90" name="AutoShape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91" name="AutoShape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92" name="AutoShape 98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93" name="AutoShape 99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94" name="AutoShape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95" name="AutoShape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96" name="AutoShape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97" name="AutoShape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98" name="AutoShape 108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099" name="AutoShape 109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00" name="AutoShape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01" name="AutoShape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02" name="AutoShape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03" name="AutoShape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04" name="AutoShape 118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05" name="AutoShape 119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06" name="AutoShape 120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07" name="AutoShape 121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08" name="AutoShap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09" name="AutoShape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10" name="AutoShape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11" name="AutoShape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12" name="AutoShape 8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13" name="AutoShape 8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14" name="AutoShape 8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15" name="AutoShape 8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16" name="AutoShape 10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17" name="AutoShape 10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18" name="AutoShape 10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19" name="AutoShape 10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20" name="AutoShape 10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21" name="AutoShape 10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22" name="AutoShape 10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23" name="AutoShape 10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24" name="AutoShape 10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25" name="AutoShape 10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26" name="AutoShape 10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27" name="AutoShape 10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28" name="AutoShape 10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29" name="AutoShape 10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30" name="AutoShape 10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31" name="AutoShape 10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32" name="AutoShape 10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33" name="AutoShape 10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34" name="AutoShape 10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35" name="AutoShape 10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36" name="AutoShape 10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37" name="AutoShape 10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38" name="AutoShape 10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39" name="AutoShape 10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40" name="AutoShape 10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41" name="AutoShape 10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42" name="AutoShape 10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43" name="AutoShape 10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44" name="AutoShape 10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45" name="AutoShape 10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46" name="AutoShape 10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47" name="AutoShape 10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48" name="AutoShape 1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49" name="AutoShape 1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50" name="AutoShape 1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51" name="AutoShape 1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52" name="AutoShape 1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53" name="AutoShape 1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54" name="AutoShape 1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55" name="AutoShape 1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56" name="AutoShape 1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57" name="AutoShape 1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58" name="AutoShape 1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59" name="AutoShape 1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60" name="AutoShape 1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61" name="AutoShape 1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62" name="AutoShape 1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63" name="AutoShape 1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64" name="AutoShape 1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65" name="AutoShape 1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66" name="AutoShape 1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67" name="AutoShape 1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68" name="AutoShape 1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69" name="AutoShape 1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70" name="AutoShape 1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71" name="AutoShape 1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72" name="AutoShape 1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73" name="AutoShape 1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74" name="AutoShape 1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75" name="AutoShape 1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76" name="AutoShape 1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77" name="AutoShape 1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78" name="AutoShape 1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79" name="AutoShape 1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80" name="AutoShape 1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81" name="AutoShape 1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82" name="AutoShape 1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83" name="AutoShape 1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84" name="AutoShape 1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85" name="AutoShape 1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86" name="AutoShape 1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87" name="AutoShape 1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88" name="AutoShape 1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89" name="AutoShape 1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90" name="AutoShape 1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91" name="AutoShape 1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92" name="AutoShape 1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93" name="AutoShape 1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94" name="AutoShape 1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95" name="AutoShape 1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96" name="AutoShape 1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97" name="AutoShape 1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98" name="AutoShape 1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199" name="AutoShape 1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00" name="AutoShape 1055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01" name="AutoShape 1056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02" name="AutoShape 1057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03" name="AutoShape 1154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04" name="AutoShape 1155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05" name="AutoShape 1156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06" name="AutoShape 1157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07" name="AutoShape 1158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08" name="AutoShape 1159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09" name="AutoShape 1160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10" name="AutoShape 1161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11" name="AutoShape 1162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12" name="AutoShape 1163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13" name="AutoShape 1164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14" name="AutoShape 1165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15" name="AutoShape 1052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16" name="AutoShape 1053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17" name="AutoShape 1058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18" name="AutoShape 1059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19" name="AutoShape 1060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20" name="AutoShape 1061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21" name="AutoShape 1142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22" name="AutoShape 1143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23" name="AutoShape 1144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24" name="AutoShape 1145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25" name="AutoShape 1146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26" name="AutoShape 1147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27" name="AutoShape 1148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5</xdr:col>
      <xdr:colOff>76200</xdr:colOff>
      <xdr:row>347</xdr:row>
      <xdr:rowOff>0</xdr:rowOff>
    </xdr:from>
    <xdr:to>
      <xdr:col>5</xdr:col>
      <xdr:colOff>373380</xdr:colOff>
      <xdr:row>347</xdr:row>
      <xdr:rowOff>0</xdr:rowOff>
    </xdr:to>
    <xdr:sp macro="" textlink="">
      <xdr:nvSpPr>
        <xdr:cNvPr id="2228" name="AutoShape 1149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496062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29" name="AutoShape 820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30" name="AutoShape 821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31" name="AutoShape 822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32" name="AutoShape 823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297180</xdr:colOff>
      <xdr:row>347</xdr:row>
      <xdr:rowOff>0</xdr:rowOff>
    </xdr:to>
    <xdr:sp macro="" textlink="">
      <xdr:nvSpPr>
        <xdr:cNvPr id="2233" name="AutoShape 824" descr="0050000000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SpPr>
          <a:spLocks noChangeAspect="1" noChangeArrowheads="1"/>
        </xdr:cNvSpPr>
      </xdr:nvSpPr>
      <xdr:spPr bwMode="auto">
        <a:xfrm>
          <a:off x="0" y="5051298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0</xdr:col>
      <xdr:colOff>876300</xdr:colOff>
      <xdr:row>5</xdr:row>
      <xdr:rowOff>144780</xdr:rowOff>
    </xdr:to>
    <xdr:pic>
      <xdr:nvPicPr>
        <xdr:cNvPr id="3073" name="Picture 1" descr="ausganica_logo better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620"/>
          <a:ext cx="876300" cy="10439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74" name="AutoShape 806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75" name="AutoShape 807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76" name="AutoShape 808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77" name="AutoShape 8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78" name="AutoShape 8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79" name="AutoShape 8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80" name="AutoShape 8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081" name="AutoShape 1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9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082" name="AutoShape 2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A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083" name="AutoShape 11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B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084" name="AutoShape 12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C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085" name="AutoShape 809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086" name="AutoShape 810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087" name="AutoShape 811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088" name="AutoShape 812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0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89" name="AutoShap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1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90" name="Auto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2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91" name="AutoShap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3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92" name="AutoShap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93" name="AutoShape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94" name="AutoShape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95" name="AutoShape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96" name="AutoShap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97" name="AutoShape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98" name="AutoShap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099" name="AutoShape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00" name="AutoShape 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C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01" name="AutoShape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D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02" name="AutoShape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03" name="AutoShape 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04" name="AutoShape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05" name="AutoShape 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06" name="AutoShape 3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2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07" name="AutoShape 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3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08" name="AutoShape 3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4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09" name="AutoShape 3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5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10" name="AutoShape 3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11" name="AutoShape 4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7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12" name="AutoShape 4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8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13" name="AutoShape 4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9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14" name="AutoShape 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A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15" name="AutoShape 4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16" name="AutoShape 4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17" name="AutoShape 98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18" name="AutoShape 99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19" name="AutoShape 10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20" name="AutoShape 10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21" name="AutoShape 10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22" name="AutoShape 10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23" name="AutoShape 108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24" name="AutoShape 109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25" name="AutoShape 1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26" name="AutoShape 1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27" name="AutoShape 1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28" name="AutoShape 1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8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29" name="AutoShape 118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9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30" name="AutoShape 119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A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31" name="AutoShape 120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B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32" name="AutoShape 121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33" name="AutoShape 1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34" name="AutoShape 1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35" name="AutoShape 1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F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36" name="AutoShape 1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0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37" name="AutoShape 1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1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38" name="AutoShape 1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2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39" name="AutoShape 12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40" name="AutoShape 1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41" name="AutoShape 1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42" name="AutoShape 13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6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43" name="AutoShape 1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7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44" name="AutoShape 13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8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45" name="AutoShape 13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9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46" name="AutoShape 13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47" name="AutoShape 13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48" name="AutoShape 13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49" name="AutoShape 13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50" name="AutoShape 14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51" name="AutoShape 14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52" name="AutoShape 14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53" name="AutoShape 14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1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54" name="AutoShape 14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2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55" name="AutoShape 14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3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56" name="AutoShape 14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4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57" name="AutoShape 14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58" name="AutoShape 14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59" name="AutoShape 14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60" name="AutoShape 15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8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61" name="AutoShape 15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9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62" name="AutoShape 15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A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63" name="AutoShape 15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B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64" name="AutoShape 15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65" name="AutoShape 15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66" name="AutoShape 15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67" name="AutoShape 15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F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68" name="AutoShape 15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0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69" name="AutoShape 8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1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70" name="AutoShape 8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2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71" name="AutoShape 8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72" name="AutoShape 8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73" name="AutoShape 94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74" name="AutoShape 94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6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75" name="AutoShape 94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7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176" name="AutoShape 94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8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77" name="AutoShape 10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9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78" name="AutoShape 106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79" name="AutoShape 106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80" name="AutoShape 106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81" name="AutoShape 106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D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82" name="AutoShape 106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E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83" name="AutoShape 106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F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84" name="AutoShape 106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0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85" name="AutoShape 107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86" name="AutoShape 107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87" name="AutoShape 107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88" name="AutoShape 107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4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89" name="AutoShape 107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5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90" name="AutoShape 107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6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91" name="AutoShape 107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7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92" name="AutoShape 107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93" name="AutoShape 107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94" name="AutoShape 107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95" name="AutoShape 108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B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96" name="AutoShape 108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C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97" name="AutoShape 108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D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98" name="AutoShape 108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E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199" name="AutoShape 108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00" name="AutoShape 108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01" name="AutoShape 108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02" name="AutoShape 108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2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03" name="AutoShape 108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3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04" name="AutoShape 108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4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05" name="AutoShape 109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5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06" name="AutoShape 109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07" name="AutoShape 109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08" name="AutoShape 109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09" name="AutoShape 109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9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10" name="AutoShape 109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A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11" name="AutoShape 109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B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12" name="AutoShape 109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C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13" name="AutoShape 109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14" name="AutoShape 109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15" name="AutoShape 110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16" name="AutoShape 110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0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17" name="AutoShape 110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1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18" name="AutoShape 110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2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19" name="AutoShape 110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3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20" name="AutoShape 110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21" name="AutoShape 110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22" name="AutoShape 110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23" name="AutoShape 110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7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7</xdr:col>
      <xdr:colOff>83820</xdr:colOff>
      <xdr:row>353</xdr:row>
      <xdr:rowOff>0</xdr:rowOff>
    </xdr:from>
    <xdr:to>
      <xdr:col>7</xdr:col>
      <xdr:colOff>381000</xdr:colOff>
      <xdr:row>353</xdr:row>
      <xdr:rowOff>0</xdr:rowOff>
    </xdr:to>
    <xdr:sp macro="" textlink="">
      <xdr:nvSpPr>
        <xdr:cNvPr id="3224" name="AutoShape 110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80C0000}"/>
            </a:ext>
          </a:extLst>
        </xdr:cNvPr>
        <xdr:cNvSpPr>
          <a:spLocks noChangeAspect="1" noChangeArrowheads="1"/>
        </xdr:cNvSpPr>
      </xdr:nvSpPr>
      <xdr:spPr bwMode="auto">
        <a:xfrm>
          <a:off x="674370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25" name="AutoShape 11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9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26" name="AutoShape 11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A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27" name="AutoShape 11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28" name="AutoShape 11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29" name="AutoShape 11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30" name="AutoShape 11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E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31" name="AutoShape 11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F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32" name="AutoShape 11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0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33" name="AutoShape 11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1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34" name="AutoShape 11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35" name="AutoShape 112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36" name="AutoShape 11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37" name="AutoShape 11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5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38" name="AutoShape 112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6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39" name="AutoShape 11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7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40" name="AutoShape 11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8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41" name="AutoShape 11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42" name="AutoShape 11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43" name="AutoShape 11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44" name="AutoShape 112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C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45" name="AutoShape 11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D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46" name="AutoShape 113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E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47" name="AutoShape 113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F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48" name="AutoShape 113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49" name="AutoShape 113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50" name="AutoShape 113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51" name="AutoShape 113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3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52" name="AutoShape 113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4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53" name="AutoShape 113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5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54" name="AutoShape 113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6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55" name="AutoShape 114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56" name="AutoShape 114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57" name="AutoShape 115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58" name="AutoShape 115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A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59" name="AutoShape 115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B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60" name="AutoShape 115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C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61" name="AutoShape 116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D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62" name="AutoShape 116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63" name="AutoShape 116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64" name="AutoShape 116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65" name="AutoShape 117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1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66" name="AutoShape 117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2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67" name="AutoShape 117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3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68" name="AutoShape 117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4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69" name="AutoShape 117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70" name="AutoShape 117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71" name="AutoShape 117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72" name="AutoShape 117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8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73" name="AutoShape 117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9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74" name="AutoShape 117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A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75" name="AutoShape 118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B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76" name="AutoShape 118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77" name="AutoShape 1055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78" name="AutoShape 1056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79" name="AutoShape 1057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CF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280" name="AutoShape 1154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0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281" name="AutoShape 1155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1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282" name="AutoShape 1156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2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283" name="AutoShape 1157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84" name="AutoShape 1158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85" name="AutoShape 1159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86" name="AutoShape 1160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6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87" name="AutoShape 1161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7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288" name="AutoShape 1162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8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289" name="AutoShape 1163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9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290" name="AutoShape 1164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291" name="AutoShape 1165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92" name="AutoShape 1052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93" name="AutoShape 1053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D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94" name="AutoShape 1058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E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95" name="AutoShape 1059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DF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96" name="AutoShape 1060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0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297" name="AutoShape 1061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298" name="AutoShape 1142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299" name="AutoShape 1143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300" name="AutoShape 1144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4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301" name="AutoShape 1145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5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302" name="AutoShape 1146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6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303" name="AutoShape 1147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7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304" name="AutoShape 1148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76200</xdr:colOff>
      <xdr:row>353</xdr:row>
      <xdr:rowOff>0</xdr:rowOff>
    </xdr:from>
    <xdr:to>
      <xdr:col>6</xdr:col>
      <xdr:colOff>373380</xdr:colOff>
      <xdr:row>353</xdr:row>
      <xdr:rowOff>0</xdr:rowOff>
    </xdr:to>
    <xdr:sp macro="" textlink="">
      <xdr:nvSpPr>
        <xdr:cNvPr id="3305" name="AutoShape 1149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1493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306" name="AutoShape 820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307" name="AutoShape 821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B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308" name="AutoShape 822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C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309" name="AutoShape 823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D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297180</xdr:colOff>
      <xdr:row>353</xdr:row>
      <xdr:rowOff>0</xdr:rowOff>
    </xdr:to>
    <xdr:sp macro="" textlink="">
      <xdr:nvSpPr>
        <xdr:cNvPr id="3310" name="AutoShape 824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E0C0000}"/>
            </a:ext>
          </a:extLst>
        </xdr:cNvPr>
        <xdr:cNvSpPr>
          <a:spLocks noChangeAspect="1" noChangeArrowheads="1"/>
        </xdr:cNvSpPr>
      </xdr:nvSpPr>
      <xdr:spPr bwMode="auto">
        <a:xfrm>
          <a:off x="89154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311" name="AutoShape 1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312" name="AutoShape 2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313" name="AutoShape 11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314" name="AutoShape 12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315" name="AutoShape 809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316" name="AutoShape 810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317" name="AutoShape 811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F5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297180</xdr:colOff>
      <xdr:row>353</xdr:row>
      <xdr:rowOff>0</xdr:rowOff>
    </xdr:to>
    <xdr:sp macro="" textlink="">
      <xdr:nvSpPr>
        <xdr:cNvPr id="3318" name="AutoShape 812" descr="00500000003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F60C0000}"/>
            </a:ext>
          </a:extLst>
        </xdr:cNvPr>
        <xdr:cNvSpPr>
          <a:spLocks noChangeAspect="1" noChangeArrowheads="1"/>
        </xdr:cNvSpPr>
      </xdr:nvSpPr>
      <xdr:spPr bwMode="auto">
        <a:xfrm>
          <a:off x="1440180" y="48828960"/>
          <a:ext cx="29718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55"/>
  <sheetViews>
    <sheetView tabSelected="1" zoomScale="96" zoomScaleNormal="96" workbookViewId="0">
      <selection activeCell="B8" sqref="B8:D8"/>
    </sheetView>
  </sheetViews>
  <sheetFormatPr defaultColWidth="8.75" defaultRowHeight="15"/>
  <cols>
    <col min="1" max="1" width="8" style="2" customWidth="1"/>
    <col min="2" max="2" width="20.125" style="15" customWidth="1"/>
    <col min="3" max="3" width="6.625" style="15" customWidth="1"/>
    <col min="4" max="4" width="20.5" style="15" customWidth="1"/>
    <col min="5" max="5" width="8.875" style="2" customWidth="1"/>
    <col min="6" max="6" width="10" style="2" customWidth="1"/>
    <col min="7" max="7" width="15.625" style="2" customWidth="1"/>
    <col min="8" max="8" width="10.5" style="47" customWidth="1"/>
    <col min="9" max="9" width="12" style="2" customWidth="1"/>
    <col min="10" max="16384" width="8.75" style="2"/>
  </cols>
  <sheetData>
    <row r="1" spans="1:9" ht="35.25">
      <c r="A1" s="136" t="s">
        <v>494</v>
      </c>
      <c r="B1" s="136"/>
      <c r="C1" s="66"/>
      <c r="D1" s="66"/>
      <c r="E1" s="3"/>
      <c r="F1" s="3"/>
      <c r="G1" s="35"/>
      <c r="H1" s="3"/>
      <c r="I1" s="3" t="s">
        <v>75</v>
      </c>
    </row>
    <row r="2" spans="1:9" ht="12" customHeight="1">
      <c r="A2" s="76" t="s">
        <v>479</v>
      </c>
      <c r="B2" s="66"/>
      <c r="C2" s="77"/>
      <c r="D2" s="4"/>
      <c r="E2" s="4" t="s">
        <v>1113</v>
      </c>
      <c r="F2" s="4"/>
      <c r="H2" s="2"/>
      <c r="I2" s="78"/>
    </row>
    <row r="3" spans="1:9" ht="12.75" customHeight="1">
      <c r="A3" s="6" t="s">
        <v>480</v>
      </c>
      <c r="B3" s="79"/>
      <c r="C3" s="80"/>
      <c r="D3" s="4"/>
      <c r="E3" s="4"/>
      <c r="H3" s="5" t="s">
        <v>71</v>
      </c>
      <c r="I3" s="10">
        <f ca="1">TODAY()</f>
        <v>45909</v>
      </c>
    </row>
    <row r="4" spans="1:9" ht="15" customHeight="1">
      <c r="A4" s="6" t="s">
        <v>1106</v>
      </c>
      <c r="B4" s="81"/>
      <c r="C4" s="81"/>
      <c r="D4" s="4"/>
      <c r="E4" s="4"/>
      <c r="F4" s="7"/>
      <c r="G4" s="7"/>
      <c r="H4" s="5" t="s">
        <v>76</v>
      </c>
      <c r="I4" s="55"/>
    </row>
    <row r="5" spans="1:9">
      <c r="A5" s="6" t="s">
        <v>1107</v>
      </c>
      <c r="B5" s="7"/>
      <c r="C5" s="7"/>
      <c r="D5" s="4"/>
      <c r="E5" s="7"/>
      <c r="F5" s="7"/>
      <c r="G5" s="7"/>
      <c r="H5" s="2"/>
      <c r="I5" s="8" t="s">
        <v>473</v>
      </c>
    </row>
    <row r="6" spans="1:9" ht="13.5" customHeight="1">
      <c r="A6" s="9"/>
      <c r="B6" s="9"/>
      <c r="C6" s="9"/>
      <c r="D6" s="9"/>
      <c r="E6" s="9"/>
      <c r="F6" s="9"/>
      <c r="G6" s="9"/>
      <c r="H6" s="9"/>
      <c r="I6" s="8" t="s">
        <v>488</v>
      </c>
    </row>
    <row r="7" spans="1:9">
      <c r="A7" s="104" t="s">
        <v>481</v>
      </c>
      <c r="B7" s="105"/>
      <c r="C7" s="105"/>
      <c r="D7" s="106"/>
      <c r="E7" s="9"/>
      <c r="F7" s="104" t="s">
        <v>72</v>
      </c>
      <c r="G7" s="105"/>
      <c r="H7" s="105"/>
      <c r="I7" s="106"/>
    </row>
    <row r="8" spans="1:9">
      <c r="A8" s="9" t="s">
        <v>482</v>
      </c>
      <c r="B8" s="462"/>
      <c r="C8" s="462"/>
      <c r="D8" s="462"/>
      <c r="E8" s="9"/>
      <c r="F8" s="9" t="s">
        <v>482</v>
      </c>
      <c r="G8" s="461">
        <f t="shared" ref="G8:G13" si="0">B8</f>
        <v>0</v>
      </c>
      <c r="H8" s="461"/>
      <c r="I8" s="461"/>
    </row>
    <row r="9" spans="1:9" ht="15" customHeight="1">
      <c r="A9" s="9"/>
      <c r="B9" s="459"/>
      <c r="C9" s="460"/>
      <c r="D9" s="460"/>
      <c r="E9" s="9"/>
      <c r="F9" s="9"/>
      <c r="G9" s="461">
        <f t="shared" si="0"/>
        <v>0</v>
      </c>
      <c r="H9" s="461"/>
      <c r="I9" s="461"/>
    </row>
    <row r="10" spans="1:9">
      <c r="A10" s="9"/>
      <c r="B10" s="460"/>
      <c r="C10" s="460"/>
      <c r="D10" s="460"/>
      <c r="E10" s="9"/>
      <c r="F10" s="9"/>
      <c r="G10" s="461">
        <f t="shared" si="0"/>
        <v>0</v>
      </c>
      <c r="H10" s="461"/>
      <c r="I10" s="461"/>
    </row>
    <row r="11" spans="1:9">
      <c r="A11" s="9" t="s">
        <v>483</v>
      </c>
      <c r="B11" s="457"/>
      <c r="C11" s="457"/>
      <c r="D11" s="457"/>
      <c r="E11" s="9"/>
      <c r="F11" s="9" t="s">
        <v>483</v>
      </c>
      <c r="G11" s="458">
        <f t="shared" si="0"/>
        <v>0</v>
      </c>
      <c r="H11" s="458"/>
      <c r="I11" s="458"/>
    </row>
    <row r="12" spans="1:9">
      <c r="A12" s="9" t="s">
        <v>484</v>
      </c>
      <c r="B12" s="107"/>
      <c r="C12" s="9" t="s">
        <v>485</v>
      </c>
      <c r="D12" s="107"/>
      <c r="E12" s="103"/>
      <c r="F12" s="9" t="s">
        <v>484</v>
      </c>
      <c r="G12" s="108">
        <f t="shared" si="0"/>
        <v>0</v>
      </c>
      <c r="H12" s="9" t="s">
        <v>485</v>
      </c>
      <c r="I12" s="109">
        <f>D12</f>
        <v>0</v>
      </c>
    </row>
    <row r="13" spans="1:9">
      <c r="A13" s="9" t="s">
        <v>486</v>
      </c>
      <c r="B13" s="107"/>
      <c r="C13" s="9" t="s">
        <v>487</v>
      </c>
      <c r="D13" s="110"/>
      <c r="E13" s="103"/>
      <c r="F13" s="9" t="s">
        <v>486</v>
      </c>
      <c r="G13" s="111">
        <f t="shared" si="0"/>
        <v>0</v>
      </c>
      <c r="H13" s="9" t="s">
        <v>487</v>
      </c>
      <c r="I13" s="112">
        <f>D13</f>
        <v>0</v>
      </c>
    </row>
    <row r="14" spans="1:9" s="7" customFormat="1" ht="11.45" customHeight="1">
      <c r="A14" s="83"/>
      <c r="B14" s="84"/>
      <c r="C14" s="84"/>
      <c r="D14" s="84"/>
      <c r="E14" s="84"/>
      <c r="F14" s="84"/>
      <c r="G14" s="83"/>
      <c r="I14" s="8" t="s">
        <v>474</v>
      </c>
    </row>
    <row r="15" spans="1:9" s="7" customFormat="1" ht="24">
      <c r="A15" s="82" t="s">
        <v>475</v>
      </c>
      <c r="B15" s="132" t="s">
        <v>69</v>
      </c>
      <c r="C15" s="133"/>
      <c r="D15" s="134"/>
      <c r="E15" s="131" t="s">
        <v>476</v>
      </c>
      <c r="F15" s="12" t="s">
        <v>477</v>
      </c>
      <c r="G15" s="11" t="s">
        <v>62</v>
      </c>
      <c r="H15" s="12" t="s">
        <v>478</v>
      </c>
      <c r="I15" s="12" t="s">
        <v>63</v>
      </c>
    </row>
    <row r="16" spans="1:9" s="16" customFormat="1" ht="12.75">
      <c r="A16" s="14" t="s">
        <v>1058</v>
      </c>
      <c r="B16" s="68"/>
      <c r="C16" s="68"/>
      <c r="D16" s="68"/>
      <c r="E16" s="60"/>
      <c r="F16" s="60"/>
      <c r="G16" s="21"/>
      <c r="H16" s="21"/>
      <c r="I16" s="137"/>
    </row>
    <row r="17" spans="1:9" s="17" customFormat="1" ht="12.75">
      <c r="A17" s="88" t="s">
        <v>489</v>
      </c>
      <c r="B17" s="116" t="s">
        <v>490</v>
      </c>
      <c r="C17" s="117"/>
      <c r="D17" s="121"/>
      <c r="E17" s="126">
        <v>36</v>
      </c>
      <c r="F17" s="24">
        <v>6.8</v>
      </c>
      <c r="G17" s="48"/>
      <c r="H17" s="56">
        <v>0</v>
      </c>
      <c r="I17" s="138">
        <f>F17*(1-G17)*H17</f>
        <v>0</v>
      </c>
    </row>
    <row r="18" spans="1:9" s="17" customFormat="1" ht="12.75">
      <c r="A18" s="89" t="s">
        <v>491</v>
      </c>
      <c r="B18" s="118" t="s">
        <v>492</v>
      </c>
      <c r="C18" s="114"/>
      <c r="D18" s="115"/>
      <c r="E18" s="127">
        <v>36</v>
      </c>
      <c r="F18" s="25">
        <v>6.8</v>
      </c>
      <c r="G18" s="49"/>
      <c r="H18" s="57">
        <v>0</v>
      </c>
      <c r="I18" s="139">
        <f>F18*(1-G18)*H18</f>
        <v>0</v>
      </c>
    </row>
    <row r="19" spans="1:9" s="17" customFormat="1" ht="12.75">
      <c r="A19" s="90" t="s">
        <v>493</v>
      </c>
      <c r="B19" s="150" t="s">
        <v>1071</v>
      </c>
      <c r="C19" s="120"/>
      <c r="D19" s="122"/>
      <c r="E19" s="128">
        <v>36</v>
      </c>
      <c r="F19" s="26">
        <v>6.8</v>
      </c>
      <c r="G19" s="50"/>
      <c r="H19" s="58">
        <v>0</v>
      </c>
      <c r="I19" s="140">
        <f>F19*(1-G19)*H19</f>
        <v>0</v>
      </c>
    </row>
    <row r="20" spans="1:9" s="310" customFormat="1" ht="12.75">
      <c r="A20" s="14" t="s">
        <v>1109</v>
      </c>
      <c r="B20" s="302"/>
      <c r="C20" s="302"/>
      <c r="D20" s="302"/>
      <c r="E20" s="303"/>
      <c r="F20" s="304"/>
      <c r="G20" s="305"/>
      <c r="H20" s="305"/>
      <c r="I20" s="305"/>
    </row>
    <row r="21" spans="1:9" s="17" customFormat="1" ht="12.75">
      <c r="A21" s="88" t="s">
        <v>1074</v>
      </c>
      <c r="B21" s="116" t="s">
        <v>1075</v>
      </c>
      <c r="C21" s="117"/>
      <c r="D21" s="121"/>
      <c r="E21" s="126">
        <v>44</v>
      </c>
      <c r="F21" s="24">
        <v>6.8</v>
      </c>
      <c r="G21" s="48"/>
      <c r="H21" s="56">
        <v>0</v>
      </c>
      <c r="I21" s="138">
        <f t="shared" ref="I21:I25" si="1">F21*(1-G21)*H21</f>
        <v>0</v>
      </c>
    </row>
    <row r="22" spans="1:9" s="17" customFormat="1" ht="12.75">
      <c r="A22" s="89" t="s">
        <v>1078</v>
      </c>
      <c r="B22" s="118" t="s">
        <v>1079</v>
      </c>
      <c r="C22" s="114"/>
      <c r="D22" s="115"/>
      <c r="E22" s="127">
        <v>44</v>
      </c>
      <c r="F22" s="25">
        <v>6.8</v>
      </c>
      <c r="G22" s="49"/>
      <c r="H22" s="57">
        <v>0</v>
      </c>
      <c r="I22" s="139">
        <f t="shared" si="1"/>
        <v>0</v>
      </c>
    </row>
    <row r="23" spans="1:9" s="17" customFormat="1" ht="12.75">
      <c r="A23" s="89" t="s">
        <v>1081</v>
      </c>
      <c r="B23" s="118" t="s">
        <v>1082</v>
      </c>
      <c r="C23" s="114"/>
      <c r="D23" s="115"/>
      <c r="E23" s="127">
        <v>44</v>
      </c>
      <c r="F23" s="25">
        <v>6.8</v>
      </c>
      <c r="G23" s="49"/>
      <c r="H23" s="57">
        <v>0</v>
      </c>
      <c r="I23" s="139">
        <f t="shared" si="1"/>
        <v>0</v>
      </c>
    </row>
    <row r="24" spans="1:9" s="17" customFormat="1" ht="12.75">
      <c r="A24" s="89" t="s">
        <v>1084</v>
      </c>
      <c r="B24" s="118" t="s">
        <v>1085</v>
      </c>
      <c r="C24" s="114"/>
      <c r="D24" s="115"/>
      <c r="E24" s="127">
        <v>44</v>
      </c>
      <c r="F24" s="25">
        <v>6.8</v>
      </c>
      <c r="G24" s="49"/>
      <c r="H24" s="57">
        <v>0</v>
      </c>
      <c r="I24" s="139">
        <f t="shared" si="1"/>
        <v>0</v>
      </c>
    </row>
    <row r="25" spans="1:9" s="17" customFormat="1" ht="12.75">
      <c r="A25" s="90" t="s">
        <v>1087</v>
      </c>
      <c r="B25" s="119" t="s">
        <v>1088</v>
      </c>
      <c r="C25" s="120"/>
      <c r="D25" s="122"/>
      <c r="E25" s="128">
        <v>44</v>
      </c>
      <c r="F25" s="26">
        <v>6.8</v>
      </c>
      <c r="G25" s="50"/>
      <c r="H25" s="58">
        <v>0</v>
      </c>
      <c r="I25" s="140">
        <f t="shared" si="1"/>
        <v>0</v>
      </c>
    </row>
    <row r="26" spans="1:9" s="16" customFormat="1" ht="12.75">
      <c r="A26" s="14" t="s">
        <v>1108</v>
      </c>
      <c r="B26" s="68"/>
      <c r="C26" s="68"/>
      <c r="D26" s="68"/>
      <c r="E26" s="60"/>
      <c r="F26" s="60"/>
      <c r="G26" s="21"/>
      <c r="H26" s="21"/>
      <c r="I26" s="137"/>
    </row>
    <row r="27" spans="1:9" s="17" customFormat="1" ht="12.75">
      <c r="A27" s="88" t="s">
        <v>84</v>
      </c>
      <c r="B27" s="116" t="s">
        <v>85</v>
      </c>
      <c r="C27" s="117"/>
      <c r="D27" s="121"/>
      <c r="E27" s="126">
        <v>20</v>
      </c>
      <c r="F27" s="24">
        <v>9.6300000000000008</v>
      </c>
      <c r="G27" s="48"/>
      <c r="H27" s="56">
        <v>0</v>
      </c>
      <c r="I27" s="138">
        <f>F27*(1-G27)*H27</f>
        <v>0</v>
      </c>
    </row>
    <row r="28" spans="1:9" s="17" customFormat="1" ht="12.75">
      <c r="A28" s="89" t="s">
        <v>86</v>
      </c>
      <c r="B28" s="118" t="s">
        <v>87</v>
      </c>
      <c r="C28" s="114"/>
      <c r="D28" s="115"/>
      <c r="E28" s="127">
        <v>20</v>
      </c>
      <c r="F28" s="25">
        <v>10.77</v>
      </c>
      <c r="G28" s="49"/>
      <c r="H28" s="57">
        <v>0</v>
      </c>
      <c r="I28" s="139">
        <f>F28*(1-G28)*H28</f>
        <v>0</v>
      </c>
    </row>
    <row r="29" spans="1:9" s="17" customFormat="1" ht="12.75">
      <c r="A29" s="89" t="s">
        <v>88</v>
      </c>
      <c r="B29" s="118" t="s">
        <v>89</v>
      </c>
      <c r="C29" s="114"/>
      <c r="D29" s="115"/>
      <c r="E29" s="127">
        <v>20</v>
      </c>
      <c r="F29" s="25">
        <v>9.6300000000000008</v>
      </c>
      <c r="G29" s="49"/>
      <c r="H29" s="57">
        <v>0</v>
      </c>
      <c r="I29" s="139">
        <f>F29*(1-G29)*H29</f>
        <v>0</v>
      </c>
    </row>
    <row r="30" spans="1:9" s="17" customFormat="1" ht="12.75">
      <c r="A30" s="90" t="s">
        <v>90</v>
      </c>
      <c r="B30" s="119" t="s">
        <v>91</v>
      </c>
      <c r="C30" s="120"/>
      <c r="D30" s="122"/>
      <c r="E30" s="128">
        <v>20</v>
      </c>
      <c r="F30" s="26">
        <v>10.77</v>
      </c>
      <c r="G30" s="50"/>
      <c r="H30" s="58">
        <v>0</v>
      </c>
      <c r="I30" s="140">
        <f>F30*(1-G30)*H30</f>
        <v>0</v>
      </c>
    </row>
    <row r="31" spans="1:9" s="16" customFormat="1" ht="12.75">
      <c r="A31" s="14" t="s">
        <v>1110</v>
      </c>
      <c r="B31" s="69"/>
      <c r="C31" s="69"/>
      <c r="D31" s="69"/>
      <c r="E31" s="65"/>
      <c r="F31" s="67"/>
      <c r="I31" s="141"/>
    </row>
    <row r="32" spans="1:9" s="17" customFormat="1" ht="12.75">
      <c r="A32" s="88" t="s">
        <v>92</v>
      </c>
      <c r="B32" s="116" t="s">
        <v>93</v>
      </c>
      <c r="C32" s="117"/>
      <c r="D32" s="121"/>
      <c r="E32" s="126">
        <v>20</v>
      </c>
      <c r="F32" s="24">
        <v>8.49</v>
      </c>
      <c r="G32" s="48"/>
      <c r="H32" s="56">
        <v>0</v>
      </c>
      <c r="I32" s="138">
        <f>F32*(1-G32)*H32</f>
        <v>0</v>
      </c>
    </row>
    <row r="33" spans="1:9" s="17" customFormat="1" ht="12.75">
      <c r="A33" s="89" t="s">
        <v>94</v>
      </c>
      <c r="B33" s="118" t="s">
        <v>95</v>
      </c>
      <c r="C33" s="114"/>
      <c r="D33" s="115"/>
      <c r="E33" s="127">
        <v>20</v>
      </c>
      <c r="F33" s="25">
        <v>8.49</v>
      </c>
      <c r="G33" s="49"/>
      <c r="H33" s="57">
        <v>0</v>
      </c>
      <c r="I33" s="139">
        <f>F33*(1-G33)*H33</f>
        <v>0</v>
      </c>
    </row>
    <row r="34" spans="1:9" s="17" customFormat="1" ht="12.75">
      <c r="A34" s="89" t="s">
        <v>96</v>
      </c>
      <c r="B34" s="118" t="s">
        <v>97</v>
      </c>
      <c r="C34" s="114"/>
      <c r="D34" s="115"/>
      <c r="E34" s="127">
        <v>20</v>
      </c>
      <c r="F34" s="25">
        <v>8.49</v>
      </c>
      <c r="G34" s="49"/>
      <c r="H34" s="57">
        <v>0</v>
      </c>
      <c r="I34" s="139">
        <f>F34*(1-G34)*H34</f>
        <v>0</v>
      </c>
    </row>
    <row r="35" spans="1:9" s="17" customFormat="1" ht="12.75">
      <c r="A35" s="89" t="s">
        <v>98</v>
      </c>
      <c r="B35" s="118" t="s">
        <v>99</v>
      </c>
      <c r="C35" s="114"/>
      <c r="D35" s="115"/>
      <c r="E35" s="127">
        <v>20</v>
      </c>
      <c r="F35" s="25">
        <v>8.49</v>
      </c>
      <c r="G35" s="49"/>
      <c r="H35" s="57">
        <v>0</v>
      </c>
      <c r="I35" s="139">
        <f>F35*(1-G35)*H35</f>
        <v>0</v>
      </c>
    </row>
    <row r="36" spans="1:9" s="17" customFormat="1" ht="12.75">
      <c r="A36" s="90" t="s">
        <v>100</v>
      </c>
      <c r="B36" s="119" t="s">
        <v>101</v>
      </c>
      <c r="C36" s="120"/>
      <c r="D36" s="122"/>
      <c r="E36" s="128">
        <v>20</v>
      </c>
      <c r="F36" s="26">
        <v>9.6300000000000008</v>
      </c>
      <c r="G36" s="50"/>
      <c r="H36" s="58">
        <v>0</v>
      </c>
      <c r="I36" s="140">
        <f>F36*(1-G36)*H36</f>
        <v>0</v>
      </c>
    </row>
    <row r="37" spans="1:9" s="16" customFormat="1" ht="12.75">
      <c r="A37" s="14" t="s">
        <v>1111</v>
      </c>
      <c r="B37" s="69"/>
      <c r="C37" s="69"/>
      <c r="D37" s="69"/>
      <c r="E37" s="65"/>
      <c r="F37" s="67"/>
      <c r="G37" s="51"/>
      <c r="H37" s="18"/>
      <c r="I37" s="142"/>
    </row>
    <row r="38" spans="1:9" s="17" customFormat="1" ht="12.75">
      <c r="A38" s="88" t="s">
        <v>102</v>
      </c>
      <c r="B38" s="116" t="s">
        <v>103</v>
      </c>
      <c r="C38" s="117"/>
      <c r="D38" s="121"/>
      <c r="E38" s="126">
        <v>14</v>
      </c>
      <c r="F38" s="24">
        <v>9.6300000000000008</v>
      </c>
      <c r="G38" s="48"/>
      <c r="H38" s="56">
        <v>0</v>
      </c>
      <c r="I38" s="138">
        <f t="shared" ref="I38:I49" si="2">F38*(1-G38)*H38</f>
        <v>0</v>
      </c>
    </row>
    <row r="39" spans="1:9" s="17" customFormat="1" ht="12.75">
      <c r="A39" s="89" t="s">
        <v>104</v>
      </c>
      <c r="B39" s="118" t="s">
        <v>105</v>
      </c>
      <c r="C39" s="114"/>
      <c r="D39" s="115"/>
      <c r="E39" s="127">
        <v>14</v>
      </c>
      <c r="F39" s="25">
        <v>10.199999999999999</v>
      </c>
      <c r="G39" s="49"/>
      <c r="H39" s="57">
        <v>0</v>
      </c>
      <c r="I39" s="139">
        <f t="shared" si="2"/>
        <v>0</v>
      </c>
    </row>
    <row r="40" spans="1:9" s="17" customFormat="1" ht="12.75">
      <c r="A40" s="89" t="s">
        <v>106</v>
      </c>
      <c r="B40" s="118" t="s">
        <v>107</v>
      </c>
      <c r="C40" s="114"/>
      <c r="D40" s="115"/>
      <c r="E40" s="127">
        <v>14</v>
      </c>
      <c r="F40" s="25">
        <v>9.6300000000000008</v>
      </c>
      <c r="G40" s="49"/>
      <c r="H40" s="57">
        <v>0</v>
      </c>
      <c r="I40" s="139">
        <f t="shared" si="2"/>
        <v>0</v>
      </c>
    </row>
    <row r="41" spans="1:9" s="17" customFormat="1" ht="12.75">
      <c r="A41" s="89" t="s">
        <v>108</v>
      </c>
      <c r="B41" s="118" t="s">
        <v>109</v>
      </c>
      <c r="C41" s="114"/>
      <c r="D41" s="115"/>
      <c r="E41" s="127">
        <v>14</v>
      </c>
      <c r="F41" s="25">
        <v>11.34</v>
      </c>
      <c r="G41" s="49"/>
      <c r="H41" s="57">
        <v>0</v>
      </c>
      <c r="I41" s="139">
        <f t="shared" si="2"/>
        <v>0</v>
      </c>
    </row>
    <row r="42" spans="1:9" s="17" customFormat="1" ht="12.75">
      <c r="A42" s="89" t="s">
        <v>110</v>
      </c>
      <c r="B42" s="118" t="s">
        <v>111</v>
      </c>
      <c r="C42" s="114"/>
      <c r="D42" s="115"/>
      <c r="E42" s="127">
        <v>14</v>
      </c>
      <c r="F42" s="25">
        <v>9.6300000000000008</v>
      </c>
      <c r="G42" s="49"/>
      <c r="H42" s="57">
        <v>0</v>
      </c>
      <c r="I42" s="139">
        <f t="shared" si="2"/>
        <v>0</v>
      </c>
    </row>
    <row r="43" spans="1:9" s="17" customFormat="1" ht="12.75">
      <c r="A43" s="89" t="s">
        <v>112</v>
      </c>
      <c r="B43" s="118" t="s">
        <v>113</v>
      </c>
      <c r="C43" s="114"/>
      <c r="D43" s="115"/>
      <c r="E43" s="127">
        <v>14</v>
      </c>
      <c r="F43" s="25">
        <v>10.199999999999999</v>
      </c>
      <c r="G43" s="49"/>
      <c r="H43" s="57">
        <v>0</v>
      </c>
      <c r="I43" s="139">
        <f t="shared" si="2"/>
        <v>0</v>
      </c>
    </row>
    <row r="44" spans="1:9" s="17" customFormat="1" ht="12.75">
      <c r="A44" s="89" t="s">
        <v>114</v>
      </c>
      <c r="B44" s="118" t="s">
        <v>115</v>
      </c>
      <c r="C44" s="114"/>
      <c r="D44" s="115"/>
      <c r="E44" s="127">
        <v>14</v>
      </c>
      <c r="F44" s="25">
        <v>9.6300000000000008</v>
      </c>
      <c r="G44" s="49"/>
      <c r="H44" s="57">
        <v>0</v>
      </c>
      <c r="I44" s="139">
        <f t="shared" si="2"/>
        <v>0</v>
      </c>
    </row>
    <row r="45" spans="1:9" s="17" customFormat="1" ht="12.75">
      <c r="A45" s="89" t="s">
        <v>116</v>
      </c>
      <c r="B45" s="118" t="s">
        <v>117</v>
      </c>
      <c r="C45" s="114"/>
      <c r="D45" s="115"/>
      <c r="E45" s="127">
        <v>14</v>
      </c>
      <c r="F45" s="25">
        <v>11.34</v>
      </c>
      <c r="G45" s="49"/>
      <c r="H45" s="57">
        <v>0</v>
      </c>
      <c r="I45" s="139">
        <f t="shared" si="2"/>
        <v>0</v>
      </c>
    </row>
    <row r="46" spans="1:9" s="17" customFormat="1" ht="12.75">
      <c r="A46" s="89" t="s">
        <v>118</v>
      </c>
      <c r="B46" s="118" t="s">
        <v>119</v>
      </c>
      <c r="C46" s="114"/>
      <c r="D46" s="115"/>
      <c r="E46" s="127">
        <v>14</v>
      </c>
      <c r="F46" s="25">
        <v>9.6300000000000008</v>
      </c>
      <c r="G46" s="49"/>
      <c r="H46" s="57">
        <v>0</v>
      </c>
      <c r="I46" s="139">
        <f t="shared" si="2"/>
        <v>0</v>
      </c>
    </row>
    <row r="47" spans="1:9" s="17" customFormat="1" ht="12.75">
      <c r="A47" s="89" t="s">
        <v>120</v>
      </c>
      <c r="B47" s="118" t="s">
        <v>121</v>
      </c>
      <c r="C47" s="114"/>
      <c r="D47" s="115"/>
      <c r="E47" s="127">
        <v>14</v>
      </c>
      <c r="F47" s="25">
        <v>10.199999999999999</v>
      </c>
      <c r="G47" s="49"/>
      <c r="H47" s="57">
        <v>0</v>
      </c>
      <c r="I47" s="139">
        <f t="shared" si="2"/>
        <v>0</v>
      </c>
    </row>
    <row r="48" spans="1:9" s="17" customFormat="1" ht="12.75">
      <c r="A48" s="89" t="s">
        <v>122</v>
      </c>
      <c r="B48" s="118" t="s">
        <v>123</v>
      </c>
      <c r="C48" s="114"/>
      <c r="D48" s="115"/>
      <c r="E48" s="127">
        <v>14</v>
      </c>
      <c r="F48" s="25">
        <v>9.6300000000000008</v>
      </c>
      <c r="G48" s="49"/>
      <c r="H48" s="57">
        <v>0</v>
      </c>
      <c r="I48" s="139">
        <f t="shared" si="2"/>
        <v>0</v>
      </c>
    </row>
    <row r="49" spans="1:9" s="17" customFormat="1" ht="12.75">
      <c r="A49" s="90" t="s">
        <v>124</v>
      </c>
      <c r="B49" s="119" t="s">
        <v>125</v>
      </c>
      <c r="C49" s="120"/>
      <c r="D49" s="122"/>
      <c r="E49" s="128">
        <v>14</v>
      </c>
      <c r="F49" s="26">
        <v>10.199999999999999</v>
      </c>
      <c r="G49" s="50"/>
      <c r="H49" s="58">
        <v>0</v>
      </c>
      <c r="I49" s="140">
        <f t="shared" si="2"/>
        <v>0</v>
      </c>
    </row>
    <row r="50" spans="1:9" s="16" customFormat="1" ht="12.75">
      <c r="A50" s="63" t="s">
        <v>126</v>
      </c>
      <c r="B50" s="91"/>
      <c r="C50" s="91"/>
      <c r="D50" s="91"/>
      <c r="E50" s="86"/>
      <c r="F50" s="92"/>
      <c r="G50" s="93"/>
      <c r="H50" s="94"/>
      <c r="I50" s="143"/>
    </row>
    <row r="51" spans="1:9" s="17" customFormat="1" ht="12.75">
      <c r="A51" s="88" t="s">
        <v>77</v>
      </c>
      <c r="B51" s="116" t="s">
        <v>127</v>
      </c>
      <c r="C51" s="117"/>
      <c r="D51" s="121"/>
      <c r="E51" s="126">
        <v>20</v>
      </c>
      <c r="F51" s="25">
        <v>11.34</v>
      </c>
      <c r="G51" s="49"/>
      <c r="H51" s="57">
        <v>0</v>
      </c>
      <c r="I51" s="144">
        <f t="shared" ref="I51:I55" si="3">F51*(1-G51)*H51</f>
        <v>0</v>
      </c>
    </row>
    <row r="52" spans="1:9" s="17" customFormat="1" ht="12.75">
      <c r="A52" s="89" t="s">
        <v>128</v>
      </c>
      <c r="B52" s="118" t="s">
        <v>129</v>
      </c>
      <c r="C52" s="114"/>
      <c r="D52" s="115"/>
      <c r="E52" s="127">
        <v>20</v>
      </c>
      <c r="F52" s="25">
        <v>9.6300000000000008</v>
      </c>
      <c r="G52" s="49"/>
      <c r="H52" s="57">
        <v>0</v>
      </c>
      <c r="I52" s="139">
        <f t="shared" si="3"/>
        <v>0</v>
      </c>
    </row>
    <row r="53" spans="1:9" s="17" customFormat="1" ht="12.75">
      <c r="A53" s="89" t="s">
        <v>133</v>
      </c>
      <c r="B53" s="118" t="s">
        <v>134</v>
      </c>
      <c r="C53" s="114"/>
      <c r="D53" s="115"/>
      <c r="E53" s="127" t="s">
        <v>135</v>
      </c>
      <c r="F53" s="25">
        <v>118.98</v>
      </c>
      <c r="G53" s="49"/>
      <c r="H53" s="57">
        <v>0</v>
      </c>
      <c r="I53" s="139">
        <f t="shared" si="3"/>
        <v>0</v>
      </c>
    </row>
    <row r="54" spans="1:9" s="17" customFormat="1" ht="12.75">
      <c r="A54" s="89" t="s">
        <v>136</v>
      </c>
      <c r="B54" s="119" t="s">
        <v>137</v>
      </c>
      <c r="C54" s="120"/>
      <c r="D54" s="122"/>
      <c r="E54" s="128" t="s">
        <v>138</v>
      </c>
      <c r="F54" s="25">
        <v>204</v>
      </c>
      <c r="G54" s="49"/>
      <c r="H54" s="57">
        <v>0</v>
      </c>
      <c r="I54" s="139">
        <f t="shared" si="3"/>
        <v>0</v>
      </c>
    </row>
    <row r="55" spans="1:9" s="17" customFormat="1" ht="12.75">
      <c r="A55" s="90" t="s">
        <v>139</v>
      </c>
      <c r="B55" s="123" t="s">
        <v>140</v>
      </c>
      <c r="C55" s="124"/>
      <c r="D55" s="125"/>
      <c r="E55" s="129" t="s">
        <v>138</v>
      </c>
      <c r="F55" s="26">
        <v>174.36</v>
      </c>
      <c r="G55" s="50"/>
      <c r="H55" s="58">
        <v>0</v>
      </c>
      <c r="I55" s="140">
        <f t="shared" si="3"/>
        <v>0</v>
      </c>
    </row>
    <row r="56" spans="1:9" s="16" customFormat="1" ht="12.75">
      <c r="A56" s="14" t="s">
        <v>141</v>
      </c>
      <c r="B56" s="337"/>
      <c r="C56" s="337"/>
      <c r="D56" s="337"/>
      <c r="E56" s="65"/>
      <c r="F56" s="17"/>
      <c r="G56" s="51"/>
      <c r="H56" s="23"/>
      <c r="I56" s="142"/>
    </row>
    <row r="57" spans="1:9" s="17" customFormat="1" ht="12.75">
      <c r="A57" s="89" t="s">
        <v>142</v>
      </c>
      <c r="B57" s="118" t="s">
        <v>143</v>
      </c>
      <c r="C57" s="114"/>
      <c r="D57" s="115"/>
      <c r="E57" s="127">
        <v>1</v>
      </c>
      <c r="F57" s="25">
        <v>20</v>
      </c>
      <c r="G57" s="49"/>
      <c r="H57" s="57">
        <v>0</v>
      </c>
      <c r="I57" s="139">
        <f>F57*(1-G57)*H57</f>
        <v>0</v>
      </c>
    </row>
    <row r="58" spans="1:9" s="17" customFormat="1" ht="12.75">
      <c r="A58" s="89" t="s">
        <v>145</v>
      </c>
      <c r="B58" s="118" t="s">
        <v>146</v>
      </c>
      <c r="C58" s="114"/>
      <c r="D58" s="115"/>
      <c r="E58" s="127">
        <v>1</v>
      </c>
      <c r="F58" s="25">
        <v>1</v>
      </c>
      <c r="G58" s="49"/>
      <c r="H58" s="57">
        <v>0</v>
      </c>
      <c r="I58" s="139">
        <f>F58*(1-G58)*H58</f>
        <v>0</v>
      </c>
    </row>
    <row r="59" spans="1:9" s="17" customFormat="1" ht="12.75">
      <c r="A59" s="89" t="s">
        <v>147</v>
      </c>
      <c r="B59" s="118" t="s">
        <v>148</v>
      </c>
      <c r="C59" s="114"/>
      <c r="D59" s="115"/>
      <c r="E59" s="127">
        <v>1</v>
      </c>
      <c r="F59" s="25">
        <v>0.1</v>
      </c>
      <c r="G59" s="49"/>
      <c r="H59" s="57">
        <v>0</v>
      </c>
      <c r="I59" s="139">
        <f>F59*(1-G59)*H59</f>
        <v>0</v>
      </c>
    </row>
    <row r="60" spans="1:9" s="17" customFormat="1" ht="12.75">
      <c r="A60" s="90" t="s">
        <v>149</v>
      </c>
      <c r="B60" s="119" t="s">
        <v>150</v>
      </c>
      <c r="C60" s="120"/>
      <c r="D60" s="122"/>
      <c r="E60" s="128">
        <v>1</v>
      </c>
      <c r="F60" s="26">
        <v>0.1</v>
      </c>
      <c r="G60" s="50"/>
      <c r="H60" s="58">
        <v>0</v>
      </c>
      <c r="I60" s="140">
        <f>F60*(1-G60)*H60</f>
        <v>0</v>
      </c>
    </row>
    <row r="61" spans="1:9" s="16" customFormat="1" ht="12.75">
      <c r="A61" s="14" t="s">
        <v>152</v>
      </c>
      <c r="B61" s="17"/>
      <c r="C61" s="17"/>
      <c r="D61" s="17"/>
      <c r="E61" s="65"/>
      <c r="F61" s="17"/>
      <c r="G61" s="51"/>
      <c r="H61" s="18"/>
      <c r="I61" s="142"/>
    </row>
    <row r="62" spans="1:9" s="17" customFormat="1" ht="12.75">
      <c r="A62" s="88" t="s">
        <v>153</v>
      </c>
      <c r="B62" s="116" t="s">
        <v>154</v>
      </c>
      <c r="C62" s="117"/>
      <c r="D62" s="121"/>
      <c r="E62" s="126">
        <v>168</v>
      </c>
      <c r="F62" s="24">
        <v>2</v>
      </c>
      <c r="G62" s="48"/>
      <c r="H62" s="56">
        <v>0</v>
      </c>
      <c r="I62" s="138">
        <f t="shared" ref="I62:I72" si="4">F62*(1-G62)*H62</f>
        <v>0</v>
      </c>
    </row>
    <row r="63" spans="1:9" s="17" customFormat="1" ht="12.75">
      <c r="A63" s="89" t="s">
        <v>155</v>
      </c>
      <c r="B63" s="118" t="s">
        <v>156</v>
      </c>
      <c r="C63" s="114"/>
      <c r="D63" s="115"/>
      <c r="E63" s="127">
        <v>168</v>
      </c>
      <c r="F63" s="25">
        <v>2</v>
      </c>
      <c r="G63" s="49"/>
      <c r="H63" s="57">
        <v>0</v>
      </c>
      <c r="I63" s="139">
        <f t="shared" si="4"/>
        <v>0</v>
      </c>
    </row>
    <row r="64" spans="1:9" s="17" customFormat="1" ht="12.75">
      <c r="A64" s="89" t="s">
        <v>157</v>
      </c>
      <c r="B64" s="118" t="s">
        <v>158</v>
      </c>
      <c r="C64" s="114"/>
      <c r="D64" s="115"/>
      <c r="E64" s="127">
        <v>168</v>
      </c>
      <c r="F64" s="25">
        <v>2</v>
      </c>
      <c r="G64" s="49"/>
      <c r="H64" s="57">
        <v>0</v>
      </c>
      <c r="I64" s="139">
        <f t="shared" si="4"/>
        <v>0</v>
      </c>
    </row>
    <row r="65" spans="1:9" s="17" customFormat="1" ht="12.75">
      <c r="A65" s="89" t="s">
        <v>159</v>
      </c>
      <c r="B65" s="118" t="s">
        <v>160</v>
      </c>
      <c r="C65" s="114"/>
      <c r="D65" s="115"/>
      <c r="E65" s="127">
        <v>168</v>
      </c>
      <c r="F65" s="25">
        <v>2</v>
      </c>
      <c r="G65" s="49"/>
      <c r="H65" s="57">
        <v>0</v>
      </c>
      <c r="I65" s="139">
        <f t="shared" si="4"/>
        <v>0</v>
      </c>
    </row>
    <row r="66" spans="1:9" s="17" customFormat="1" ht="12.75">
      <c r="A66" s="89" t="s">
        <v>161</v>
      </c>
      <c r="B66" s="118" t="s">
        <v>162</v>
      </c>
      <c r="C66" s="114"/>
      <c r="D66" s="115"/>
      <c r="E66" s="127">
        <v>168</v>
      </c>
      <c r="F66" s="25">
        <v>2</v>
      </c>
      <c r="G66" s="49"/>
      <c r="H66" s="57">
        <v>0</v>
      </c>
      <c r="I66" s="139">
        <f t="shared" si="4"/>
        <v>0</v>
      </c>
    </row>
    <row r="67" spans="1:9" s="17" customFormat="1" ht="12.75">
      <c r="A67" s="89" t="s">
        <v>163</v>
      </c>
      <c r="B67" s="118" t="s">
        <v>164</v>
      </c>
      <c r="C67" s="114"/>
      <c r="D67" s="115"/>
      <c r="E67" s="127">
        <v>168</v>
      </c>
      <c r="F67" s="25">
        <v>2</v>
      </c>
      <c r="G67" s="49"/>
      <c r="H67" s="57">
        <v>0</v>
      </c>
      <c r="I67" s="139">
        <f t="shared" si="4"/>
        <v>0</v>
      </c>
    </row>
    <row r="68" spans="1:9" s="17" customFormat="1" ht="12.75">
      <c r="A68" s="89" t="s">
        <v>165</v>
      </c>
      <c r="B68" s="118" t="s">
        <v>166</v>
      </c>
      <c r="C68" s="114"/>
      <c r="D68" s="115"/>
      <c r="E68" s="127">
        <v>168</v>
      </c>
      <c r="F68" s="25">
        <v>2</v>
      </c>
      <c r="G68" s="49"/>
      <c r="H68" s="57">
        <v>0</v>
      </c>
      <c r="I68" s="139">
        <f t="shared" si="4"/>
        <v>0</v>
      </c>
    </row>
    <row r="69" spans="1:9" s="17" customFormat="1" ht="12.75">
      <c r="A69" s="89" t="s">
        <v>167</v>
      </c>
      <c r="B69" s="118" t="s">
        <v>168</v>
      </c>
      <c r="C69" s="114"/>
      <c r="D69" s="115"/>
      <c r="E69" s="127">
        <v>168</v>
      </c>
      <c r="F69" s="25">
        <v>2</v>
      </c>
      <c r="G69" s="49"/>
      <c r="H69" s="57">
        <v>0</v>
      </c>
      <c r="I69" s="139">
        <f t="shared" si="4"/>
        <v>0</v>
      </c>
    </row>
    <row r="70" spans="1:9" s="17" customFormat="1" ht="12.75">
      <c r="A70" s="89" t="s">
        <v>169</v>
      </c>
      <c r="B70" s="118" t="s">
        <v>170</v>
      </c>
      <c r="C70" s="114"/>
      <c r="D70" s="115"/>
      <c r="E70" s="127">
        <v>168</v>
      </c>
      <c r="F70" s="25">
        <v>2</v>
      </c>
      <c r="G70" s="49"/>
      <c r="H70" s="57">
        <v>0</v>
      </c>
      <c r="I70" s="139">
        <f t="shared" si="4"/>
        <v>0</v>
      </c>
    </row>
    <row r="71" spans="1:9" s="17" customFormat="1" ht="12.75">
      <c r="A71" s="89" t="s">
        <v>171</v>
      </c>
      <c r="B71" s="118" t="s">
        <v>172</v>
      </c>
      <c r="C71" s="114"/>
      <c r="D71" s="115"/>
      <c r="E71" s="127">
        <v>168</v>
      </c>
      <c r="F71" s="25">
        <v>2</v>
      </c>
      <c r="G71" s="49"/>
      <c r="H71" s="57">
        <v>0</v>
      </c>
      <c r="I71" s="139">
        <f t="shared" si="4"/>
        <v>0</v>
      </c>
    </row>
    <row r="72" spans="1:9" s="17" customFormat="1" ht="12.75">
      <c r="A72" s="90" t="s">
        <v>173</v>
      </c>
      <c r="B72" s="119" t="s">
        <v>79</v>
      </c>
      <c r="C72" s="120"/>
      <c r="D72" s="122"/>
      <c r="E72" s="128">
        <v>168</v>
      </c>
      <c r="F72" s="26">
        <v>2</v>
      </c>
      <c r="G72" s="50"/>
      <c r="H72" s="58">
        <v>0</v>
      </c>
      <c r="I72" s="140">
        <f t="shared" si="4"/>
        <v>0</v>
      </c>
    </row>
    <row r="73" spans="1:9" s="19" customFormat="1" ht="12.75">
      <c r="A73" s="14" t="s">
        <v>1112</v>
      </c>
      <c r="B73" s="87"/>
      <c r="C73" s="87"/>
      <c r="D73" s="87"/>
      <c r="E73" s="65"/>
      <c r="F73" s="17"/>
      <c r="G73" s="51"/>
      <c r="I73" s="145"/>
    </row>
    <row r="74" spans="1:9" s="17" customFormat="1" ht="12.75">
      <c r="A74" s="88" t="s">
        <v>174</v>
      </c>
      <c r="B74" s="116" t="s">
        <v>175</v>
      </c>
      <c r="C74" s="117"/>
      <c r="D74" s="121"/>
      <c r="E74" s="126">
        <v>24</v>
      </c>
      <c r="F74" s="24">
        <v>25.57</v>
      </c>
      <c r="G74" s="48"/>
      <c r="H74" s="56">
        <v>0</v>
      </c>
      <c r="I74" s="138">
        <f t="shared" ref="I74:I92" si="5">F74*(1-G74)*H74</f>
        <v>0</v>
      </c>
    </row>
    <row r="75" spans="1:9" s="17" customFormat="1" ht="12.75">
      <c r="A75" s="89" t="s">
        <v>176</v>
      </c>
      <c r="B75" s="118" t="s">
        <v>177</v>
      </c>
      <c r="C75" s="114"/>
      <c r="D75" s="115"/>
      <c r="E75" s="127">
        <v>35</v>
      </c>
      <c r="F75" s="25">
        <v>25.57</v>
      </c>
      <c r="G75" s="49"/>
      <c r="H75" s="57">
        <v>0</v>
      </c>
      <c r="I75" s="139">
        <f t="shared" si="5"/>
        <v>0</v>
      </c>
    </row>
    <row r="76" spans="1:9" s="17" customFormat="1" ht="12.75">
      <c r="A76" s="89" t="s">
        <v>178</v>
      </c>
      <c r="B76" s="118" t="s">
        <v>179</v>
      </c>
      <c r="C76" s="114"/>
      <c r="D76" s="115"/>
      <c r="E76" s="127">
        <v>35</v>
      </c>
      <c r="F76" s="25">
        <v>28.41</v>
      </c>
      <c r="G76" s="49"/>
      <c r="H76" s="57">
        <v>0</v>
      </c>
      <c r="I76" s="139">
        <f t="shared" si="5"/>
        <v>0</v>
      </c>
    </row>
    <row r="77" spans="1:9" s="17" customFormat="1" ht="12.75">
      <c r="A77" s="89" t="s">
        <v>180</v>
      </c>
      <c r="B77" s="118" t="s">
        <v>181</v>
      </c>
      <c r="C77" s="114"/>
      <c r="D77" s="115"/>
      <c r="E77" s="127">
        <v>24</v>
      </c>
      <c r="F77" s="25">
        <v>31.25</v>
      </c>
      <c r="G77" s="49"/>
      <c r="H77" s="57">
        <v>0</v>
      </c>
      <c r="I77" s="139">
        <f t="shared" si="5"/>
        <v>0</v>
      </c>
    </row>
    <row r="78" spans="1:9" s="17" customFormat="1" ht="12.75">
      <c r="A78" s="89" t="s">
        <v>182</v>
      </c>
      <c r="B78" s="118" t="s">
        <v>183</v>
      </c>
      <c r="C78" s="114"/>
      <c r="D78" s="115"/>
      <c r="E78" s="127">
        <v>56</v>
      </c>
      <c r="F78" s="25">
        <v>38.64</v>
      </c>
      <c r="G78" s="49"/>
      <c r="H78" s="57">
        <v>0</v>
      </c>
      <c r="I78" s="139">
        <f t="shared" si="5"/>
        <v>0</v>
      </c>
    </row>
    <row r="79" spans="1:9" s="17" customFormat="1" ht="12.75">
      <c r="A79" s="89" t="s">
        <v>184</v>
      </c>
      <c r="B79" s="118" t="s">
        <v>185</v>
      </c>
      <c r="C79" s="114"/>
      <c r="D79" s="115"/>
      <c r="E79" s="127">
        <v>35</v>
      </c>
      <c r="F79" s="25">
        <v>96.59</v>
      </c>
      <c r="G79" s="49"/>
      <c r="H79" s="57">
        <v>0</v>
      </c>
      <c r="I79" s="139">
        <f t="shared" si="5"/>
        <v>0</v>
      </c>
    </row>
    <row r="80" spans="1:9" s="17" customFormat="1" ht="12.75">
      <c r="A80" s="89" t="s">
        <v>186</v>
      </c>
      <c r="B80" s="118" t="s">
        <v>187</v>
      </c>
      <c r="C80" s="114"/>
      <c r="D80" s="115"/>
      <c r="E80" s="127">
        <v>35</v>
      </c>
      <c r="F80" s="25">
        <v>38.64</v>
      </c>
      <c r="G80" s="49"/>
      <c r="H80" s="57">
        <v>0</v>
      </c>
      <c r="I80" s="139">
        <f t="shared" si="5"/>
        <v>0</v>
      </c>
    </row>
    <row r="81" spans="1:9" s="17" customFormat="1" ht="12.75">
      <c r="A81" s="89" t="s">
        <v>188</v>
      </c>
      <c r="B81" s="118" t="s">
        <v>189</v>
      </c>
      <c r="C81" s="114"/>
      <c r="D81" s="115"/>
      <c r="E81" s="127">
        <v>45</v>
      </c>
      <c r="F81" s="25">
        <v>38.64</v>
      </c>
      <c r="G81" s="49"/>
      <c r="H81" s="57">
        <v>0</v>
      </c>
      <c r="I81" s="139">
        <f t="shared" si="5"/>
        <v>0</v>
      </c>
    </row>
    <row r="82" spans="1:9" s="17" customFormat="1" ht="12.75">
      <c r="A82" s="89" t="s">
        <v>190</v>
      </c>
      <c r="B82" s="118" t="s">
        <v>191</v>
      </c>
      <c r="C82" s="114"/>
      <c r="D82" s="115"/>
      <c r="E82" s="127">
        <v>56</v>
      </c>
      <c r="F82" s="25">
        <v>18.75</v>
      </c>
      <c r="G82" s="49"/>
      <c r="H82" s="57">
        <v>0</v>
      </c>
      <c r="I82" s="139">
        <f t="shared" si="5"/>
        <v>0</v>
      </c>
    </row>
    <row r="83" spans="1:9" s="17" customFormat="1" ht="12.75">
      <c r="A83" s="89" t="s">
        <v>192</v>
      </c>
      <c r="B83" s="118" t="s">
        <v>193</v>
      </c>
      <c r="C83" s="114"/>
      <c r="D83" s="115"/>
      <c r="E83" s="127">
        <v>56</v>
      </c>
      <c r="F83" s="25">
        <v>38.64</v>
      </c>
      <c r="G83" s="49"/>
      <c r="H83" s="57">
        <v>0</v>
      </c>
      <c r="I83" s="139">
        <f t="shared" si="5"/>
        <v>0</v>
      </c>
    </row>
    <row r="84" spans="1:9" s="17" customFormat="1" ht="12.75">
      <c r="A84" s="89" t="s">
        <v>194</v>
      </c>
      <c r="B84" s="118" t="s">
        <v>195</v>
      </c>
      <c r="C84" s="114"/>
      <c r="D84" s="115"/>
      <c r="E84" s="127">
        <v>72</v>
      </c>
      <c r="F84" s="25">
        <v>38.64</v>
      </c>
      <c r="G84" s="49"/>
      <c r="H84" s="57">
        <v>0</v>
      </c>
      <c r="I84" s="139">
        <f t="shared" si="5"/>
        <v>0</v>
      </c>
    </row>
    <row r="85" spans="1:9" s="17" customFormat="1" ht="12.75">
      <c r="A85" s="89" t="s">
        <v>196</v>
      </c>
      <c r="B85" s="118" t="s">
        <v>197</v>
      </c>
      <c r="C85" s="114"/>
      <c r="D85" s="115"/>
      <c r="E85" s="127">
        <v>72</v>
      </c>
      <c r="F85" s="25">
        <v>24.43</v>
      </c>
      <c r="G85" s="49"/>
      <c r="H85" s="57">
        <v>0</v>
      </c>
      <c r="I85" s="139">
        <f t="shared" si="5"/>
        <v>0</v>
      </c>
    </row>
    <row r="86" spans="1:9" s="17" customFormat="1" ht="12.75">
      <c r="A86" s="89" t="s">
        <v>198</v>
      </c>
      <c r="B86" s="118" t="s">
        <v>199</v>
      </c>
      <c r="C86" s="114"/>
      <c r="D86" s="115"/>
      <c r="E86" s="127">
        <v>30</v>
      </c>
      <c r="F86" s="25">
        <v>34.090000000000003</v>
      </c>
      <c r="G86" s="49"/>
      <c r="H86" s="57">
        <v>0</v>
      </c>
      <c r="I86" s="139">
        <f t="shared" si="5"/>
        <v>0</v>
      </c>
    </row>
    <row r="87" spans="1:9" s="17" customFormat="1" ht="12.75">
      <c r="A87" s="89" t="s">
        <v>200</v>
      </c>
      <c r="B87" s="118" t="s">
        <v>201</v>
      </c>
      <c r="C87" s="114"/>
      <c r="D87" s="115"/>
      <c r="E87" s="127">
        <v>56</v>
      </c>
      <c r="F87" s="25">
        <v>21.59</v>
      </c>
      <c r="G87" s="49"/>
      <c r="H87" s="57">
        <v>0</v>
      </c>
      <c r="I87" s="139">
        <f t="shared" si="5"/>
        <v>0</v>
      </c>
    </row>
    <row r="88" spans="1:9" s="17" customFormat="1" ht="12.75">
      <c r="A88" s="89" t="s">
        <v>202</v>
      </c>
      <c r="B88" s="118" t="s">
        <v>203</v>
      </c>
      <c r="C88" s="114"/>
      <c r="D88" s="115"/>
      <c r="E88" s="127">
        <v>500</v>
      </c>
      <c r="F88" s="25">
        <v>1.1000000000000001</v>
      </c>
      <c r="G88" s="49"/>
      <c r="H88" s="57">
        <v>0</v>
      </c>
      <c r="I88" s="139">
        <f t="shared" si="5"/>
        <v>0</v>
      </c>
    </row>
    <row r="89" spans="1:9" s="17" customFormat="1" ht="12.75">
      <c r="A89" s="89" t="s">
        <v>204</v>
      </c>
      <c r="B89" s="118" t="s">
        <v>205</v>
      </c>
      <c r="C89" s="114"/>
      <c r="D89" s="115"/>
      <c r="E89" s="127">
        <v>100</v>
      </c>
      <c r="F89" s="25">
        <v>14.2</v>
      </c>
      <c r="G89" s="49"/>
      <c r="H89" s="57">
        <v>0</v>
      </c>
      <c r="I89" s="139">
        <f t="shared" si="5"/>
        <v>0</v>
      </c>
    </row>
    <row r="90" spans="1:9" s="17" customFormat="1" ht="12.75">
      <c r="A90" s="89" t="s">
        <v>207</v>
      </c>
      <c r="B90" s="118" t="s">
        <v>208</v>
      </c>
      <c r="C90" s="114"/>
      <c r="D90" s="115"/>
      <c r="E90" s="127"/>
      <c r="F90" s="331"/>
      <c r="G90" s="49"/>
      <c r="H90" s="57">
        <v>0</v>
      </c>
      <c r="I90" s="139">
        <f t="shared" si="5"/>
        <v>0</v>
      </c>
    </row>
    <row r="91" spans="1:9" s="17" customFormat="1" ht="12.75">
      <c r="A91" s="89" t="s">
        <v>209</v>
      </c>
      <c r="B91" s="118" t="s">
        <v>210</v>
      </c>
      <c r="C91" s="114"/>
      <c r="D91" s="115"/>
      <c r="E91" s="127"/>
      <c r="F91" s="331"/>
      <c r="G91" s="49"/>
      <c r="H91" s="57">
        <v>0</v>
      </c>
      <c r="I91" s="139">
        <f t="shared" si="5"/>
        <v>0</v>
      </c>
    </row>
    <row r="92" spans="1:9" s="17" customFormat="1" ht="12.75">
      <c r="A92" s="90" t="s">
        <v>211</v>
      </c>
      <c r="B92" s="119" t="s">
        <v>212</v>
      </c>
      <c r="C92" s="120"/>
      <c r="D92" s="122"/>
      <c r="E92" s="128"/>
      <c r="F92" s="332"/>
      <c r="G92" s="50"/>
      <c r="H92" s="58">
        <v>0</v>
      </c>
      <c r="I92" s="140">
        <f t="shared" si="5"/>
        <v>0</v>
      </c>
    </row>
    <row r="93" spans="1:9" s="17" customFormat="1" ht="12.75">
      <c r="A93" s="14" t="s">
        <v>213</v>
      </c>
      <c r="I93" s="146"/>
    </row>
    <row r="94" spans="1:9" s="17" customFormat="1" ht="12.75">
      <c r="A94" s="27" t="s">
        <v>214</v>
      </c>
      <c r="B94" s="116" t="s">
        <v>215</v>
      </c>
      <c r="C94" s="117"/>
      <c r="D94" s="121"/>
      <c r="E94" s="126">
        <v>6</v>
      </c>
      <c r="F94" s="24">
        <v>146.59</v>
      </c>
      <c r="G94" s="48"/>
      <c r="H94" s="56">
        <v>0</v>
      </c>
      <c r="I94" s="138">
        <f t="shared" ref="I94:I99" si="6">F94*(1-G94)*H94</f>
        <v>0</v>
      </c>
    </row>
    <row r="95" spans="1:9" s="17" customFormat="1" ht="12.75">
      <c r="A95" s="27" t="s">
        <v>216</v>
      </c>
      <c r="B95" s="118" t="s">
        <v>217</v>
      </c>
      <c r="C95" s="114"/>
      <c r="D95" s="115"/>
      <c r="E95" s="127">
        <v>6</v>
      </c>
      <c r="F95" s="25">
        <v>106.82</v>
      </c>
      <c r="G95" s="49"/>
      <c r="H95" s="57">
        <v>0</v>
      </c>
      <c r="I95" s="139">
        <f t="shared" si="6"/>
        <v>0</v>
      </c>
    </row>
    <row r="96" spans="1:9" s="17" customFormat="1" ht="12.75">
      <c r="A96" s="27" t="s">
        <v>218</v>
      </c>
      <c r="B96" s="118" t="s">
        <v>219</v>
      </c>
      <c r="C96" s="114"/>
      <c r="D96" s="115"/>
      <c r="E96" s="127">
        <v>6</v>
      </c>
      <c r="F96" s="25">
        <v>106.82</v>
      </c>
      <c r="G96" s="49"/>
      <c r="H96" s="57">
        <v>0</v>
      </c>
      <c r="I96" s="139">
        <f t="shared" si="6"/>
        <v>0</v>
      </c>
    </row>
    <row r="97" spans="1:9" s="17" customFormat="1" ht="12.75">
      <c r="A97" s="27" t="s">
        <v>220</v>
      </c>
      <c r="B97" s="118" t="s">
        <v>221</v>
      </c>
      <c r="C97" s="114"/>
      <c r="D97" s="115"/>
      <c r="E97" s="127">
        <v>6</v>
      </c>
      <c r="F97" s="25">
        <v>89.77</v>
      </c>
      <c r="G97" s="49"/>
      <c r="H97" s="57">
        <v>0</v>
      </c>
      <c r="I97" s="139">
        <f t="shared" si="6"/>
        <v>0</v>
      </c>
    </row>
    <row r="98" spans="1:9" s="17" customFormat="1" ht="12.75">
      <c r="A98" s="27" t="s">
        <v>222</v>
      </c>
      <c r="B98" s="118" t="s">
        <v>223</v>
      </c>
      <c r="C98" s="114"/>
      <c r="D98" s="115"/>
      <c r="E98" s="127">
        <v>12</v>
      </c>
      <c r="F98" s="25">
        <v>12.5</v>
      </c>
      <c r="G98" s="49"/>
      <c r="H98" s="57">
        <v>0</v>
      </c>
      <c r="I98" s="139">
        <f t="shared" si="6"/>
        <v>0</v>
      </c>
    </row>
    <row r="99" spans="1:9" s="17" customFormat="1" ht="12.75">
      <c r="A99" s="34" t="s">
        <v>224</v>
      </c>
      <c r="B99" s="119" t="s">
        <v>225</v>
      </c>
      <c r="C99" s="120"/>
      <c r="D99" s="122"/>
      <c r="E99" s="128">
        <v>12</v>
      </c>
      <c r="F99" s="26">
        <v>11.36</v>
      </c>
      <c r="G99" s="50"/>
      <c r="H99" s="58">
        <v>0</v>
      </c>
      <c r="I99" s="140">
        <f t="shared" si="6"/>
        <v>0</v>
      </c>
    </row>
    <row r="100" spans="1:9" s="31" customFormat="1" ht="12.75">
      <c r="A100" s="1" t="s">
        <v>226</v>
      </c>
      <c r="B100" s="37"/>
      <c r="C100" s="37"/>
      <c r="D100" s="37"/>
      <c r="E100" s="98"/>
      <c r="F100" s="99"/>
      <c r="G100" s="100"/>
      <c r="H100" s="101"/>
      <c r="I100" s="147"/>
    </row>
    <row r="101" spans="1:9" s="31" customFormat="1" ht="12.75">
      <c r="A101" s="275" t="s">
        <v>1303</v>
      </c>
      <c r="B101" s="266" t="s">
        <v>1304</v>
      </c>
      <c r="C101" s="189"/>
      <c r="D101" s="190"/>
      <c r="E101" s="267">
        <v>140</v>
      </c>
      <c r="F101" s="341">
        <v>9.16</v>
      </c>
      <c r="G101" s="97"/>
      <c r="H101" s="75">
        <v>0</v>
      </c>
      <c r="I101" s="144">
        <f t="shared" ref="I101:I132" si="7">F101*(1-G101)*H101</f>
        <v>0</v>
      </c>
    </row>
    <row r="102" spans="1:9" s="31" customFormat="1" ht="12.75">
      <c r="A102" s="217" t="s">
        <v>1306</v>
      </c>
      <c r="B102" s="266" t="s">
        <v>1307</v>
      </c>
      <c r="C102" s="189"/>
      <c r="D102" s="190"/>
      <c r="E102" s="267">
        <v>140</v>
      </c>
      <c r="F102" s="341">
        <v>10.98</v>
      </c>
      <c r="G102" s="53"/>
      <c r="H102" s="57">
        <v>0</v>
      </c>
      <c r="I102" s="139">
        <f t="shared" si="7"/>
        <v>0</v>
      </c>
    </row>
    <row r="103" spans="1:9" s="31" customFormat="1" ht="12.75">
      <c r="A103" s="358" t="s">
        <v>227</v>
      </c>
      <c r="B103" s="357" t="s">
        <v>552</v>
      </c>
      <c r="C103" s="359"/>
      <c r="D103" s="360"/>
      <c r="E103" s="364">
        <v>140</v>
      </c>
      <c r="F103" s="362">
        <v>11.34</v>
      </c>
      <c r="G103" s="53"/>
      <c r="H103" s="57">
        <v>0</v>
      </c>
      <c r="I103" s="139">
        <f t="shared" si="7"/>
        <v>0</v>
      </c>
    </row>
    <row r="104" spans="1:9" s="31" customFormat="1" ht="12.75">
      <c r="A104" s="358" t="s">
        <v>228</v>
      </c>
      <c r="B104" s="357" t="s">
        <v>0</v>
      </c>
      <c r="C104" s="359"/>
      <c r="D104" s="360"/>
      <c r="E104" s="364">
        <v>140</v>
      </c>
      <c r="F104" s="362">
        <v>17.02</v>
      </c>
      <c r="G104" s="53"/>
      <c r="H104" s="57">
        <v>0</v>
      </c>
      <c r="I104" s="139">
        <f t="shared" si="7"/>
        <v>0</v>
      </c>
    </row>
    <row r="105" spans="1:9" s="31" customFormat="1" ht="12.75">
      <c r="A105" s="358" t="s">
        <v>229</v>
      </c>
      <c r="B105" s="357" t="s">
        <v>559</v>
      </c>
      <c r="C105" s="359"/>
      <c r="D105" s="360"/>
      <c r="E105" s="364">
        <v>90</v>
      </c>
      <c r="F105" s="362">
        <v>34.06</v>
      </c>
      <c r="G105" s="53"/>
      <c r="H105" s="57">
        <v>0</v>
      </c>
      <c r="I105" s="139">
        <f t="shared" si="7"/>
        <v>0</v>
      </c>
    </row>
    <row r="106" spans="1:9" s="31" customFormat="1" ht="12.75">
      <c r="A106" s="217" t="s">
        <v>230</v>
      </c>
      <c r="B106" s="266" t="s">
        <v>562</v>
      </c>
      <c r="C106" s="189"/>
      <c r="D106" s="190"/>
      <c r="E106" s="267">
        <v>140</v>
      </c>
      <c r="F106" s="341">
        <v>9.6300000000000008</v>
      </c>
      <c r="G106" s="53"/>
      <c r="H106" s="57">
        <v>0</v>
      </c>
      <c r="I106" s="139">
        <f t="shared" si="7"/>
        <v>0</v>
      </c>
    </row>
    <row r="107" spans="1:9" s="31" customFormat="1" ht="12.75">
      <c r="A107" s="217" t="s">
        <v>231</v>
      </c>
      <c r="B107" s="266" t="s">
        <v>1</v>
      </c>
      <c r="C107" s="189"/>
      <c r="D107" s="190"/>
      <c r="E107" s="267">
        <v>140</v>
      </c>
      <c r="F107" s="341">
        <v>17.02</v>
      </c>
      <c r="G107" s="53"/>
      <c r="H107" s="57">
        <v>0</v>
      </c>
      <c r="I107" s="139">
        <f t="shared" si="7"/>
        <v>0</v>
      </c>
    </row>
    <row r="108" spans="1:9" s="31" customFormat="1" ht="12.75">
      <c r="A108" s="217" t="s">
        <v>232</v>
      </c>
      <c r="B108" s="266" t="s">
        <v>566</v>
      </c>
      <c r="C108" s="189"/>
      <c r="D108" s="190"/>
      <c r="E108" s="267">
        <v>90</v>
      </c>
      <c r="F108" s="341">
        <v>34.06</v>
      </c>
      <c r="G108" s="53"/>
      <c r="H108" s="57">
        <v>0</v>
      </c>
      <c r="I108" s="139">
        <f t="shared" si="7"/>
        <v>0</v>
      </c>
    </row>
    <row r="109" spans="1:9" s="31" customFormat="1" ht="12.75">
      <c r="A109" s="358" t="s">
        <v>233</v>
      </c>
      <c r="B109" s="357" t="s">
        <v>569</v>
      </c>
      <c r="C109" s="359"/>
      <c r="D109" s="360"/>
      <c r="E109" s="364">
        <v>140</v>
      </c>
      <c r="F109" s="362">
        <v>11.34</v>
      </c>
      <c r="G109" s="53"/>
      <c r="H109" s="57">
        <v>0</v>
      </c>
      <c r="I109" s="139">
        <f t="shared" si="7"/>
        <v>0</v>
      </c>
    </row>
    <row r="110" spans="1:9" s="31" customFormat="1" ht="12.75">
      <c r="A110" s="358" t="s">
        <v>234</v>
      </c>
      <c r="B110" s="357" t="s">
        <v>2</v>
      </c>
      <c r="C110" s="359"/>
      <c r="D110" s="360"/>
      <c r="E110" s="364">
        <v>140</v>
      </c>
      <c r="F110" s="362">
        <v>17.02</v>
      </c>
      <c r="G110" s="53"/>
      <c r="H110" s="57">
        <v>0</v>
      </c>
      <c r="I110" s="139">
        <f t="shared" si="7"/>
        <v>0</v>
      </c>
    </row>
    <row r="111" spans="1:9" s="31" customFormat="1" ht="12.75">
      <c r="A111" s="358" t="s">
        <v>235</v>
      </c>
      <c r="B111" s="357" t="s">
        <v>572</v>
      </c>
      <c r="C111" s="359"/>
      <c r="D111" s="360"/>
      <c r="E111" s="364">
        <v>90</v>
      </c>
      <c r="F111" s="362">
        <v>34.06</v>
      </c>
      <c r="G111" s="53"/>
      <c r="H111" s="57">
        <v>0</v>
      </c>
      <c r="I111" s="139">
        <f t="shared" si="7"/>
        <v>0</v>
      </c>
    </row>
    <row r="112" spans="1:9" s="31" customFormat="1" ht="12.75">
      <c r="A112" s="217" t="s">
        <v>236</v>
      </c>
      <c r="B112" s="266" t="s">
        <v>575</v>
      </c>
      <c r="C112" s="189"/>
      <c r="D112" s="190"/>
      <c r="E112" s="267">
        <v>140</v>
      </c>
      <c r="F112" s="341">
        <v>5.09</v>
      </c>
      <c r="G112" s="53"/>
      <c r="H112" s="57">
        <v>0</v>
      </c>
      <c r="I112" s="139">
        <f t="shared" si="7"/>
        <v>0</v>
      </c>
    </row>
    <row r="113" spans="1:9" s="31" customFormat="1" ht="12.75">
      <c r="A113" s="217" t="s">
        <v>237</v>
      </c>
      <c r="B113" s="266" t="s">
        <v>3</v>
      </c>
      <c r="C113" s="189"/>
      <c r="D113" s="190"/>
      <c r="E113" s="267">
        <v>140</v>
      </c>
      <c r="F113" s="341">
        <v>7.36</v>
      </c>
      <c r="G113" s="53"/>
      <c r="H113" s="57">
        <v>0</v>
      </c>
      <c r="I113" s="139">
        <f t="shared" si="7"/>
        <v>0</v>
      </c>
    </row>
    <row r="114" spans="1:9" s="31" customFormat="1" ht="12.75">
      <c r="A114" s="217" t="s">
        <v>238</v>
      </c>
      <c r="B114" s="266" t="s">
        <v>580</v>
      </c>
      <c r="C114" s="189"/>
      <c r="D114" s="190"/>
      <c r="E114" s="267">
        <v>90</v>
      </c>
      <c r="F114" s="341">
        <v>14.18</v>
      </c>
      <c r="G114" s="53"/>
      <c r="H114" s="57">
        <v>0</v>
      </c>
      <c r="I114" s="139">
        <f t="shared" si="7"/>
        <v>0</v>
      </c>
    </row>
    <row r="115" spans="1:9" s="31" customFormat="1" ht="12.75">
      <c r="A115" s="358" t="s">
        <v>239</v>
      </c>
      <c r="B115" s="357" t="s">
        <v>583</v>
      </c>
      <c r="C115" s="359"/>
      <c r="D115" s="360"/>
      <c r="E115" s="364">
        <v>140</v>
      </c>
      <c r="F115" s="362">
        <v>22.7</v>
      </c>
      <c r="G115" s="53"/>
      <c r="H115" s="57">
        <v>0</v>
      </c>
      <c r="I115" s="139">
        <f t="shared" si="7"/>
        <v>0</v>
      </c>
    </row>
    <row r="116" spans="1:9" s="31" customFormat="1" ht="12.75">
      <c r="A116" s="358" t="s">
        <v>240</v>
      </c>
      <c r="B116" s="357" t="s">
        <v>4</v>
      </c>
      <c r="C116" s="359"/>
      <c r="D116" s="360"/>
      <c r="E116" s="364">
        <v>140</v>
      </c>
      <c r="F116" s="362">
        <v>51.11</v>
      </c>
      <c r="G116" s="53"/>
      <c r="H116" s="57">
        <v>0</v>
      </c>
      <c r="I116" s="139">
        <f t="shared" si="7"/>
        <v>0</v>
      </c>
    </row>
    <row r="117" spans="1:9" s="31" customFormat="1" ht="12.75">
      <c r="A117" s="358" t="s">
        <v>241</v>
      </c>
      <c r="B117" s="357" t="s">
        <v>588</v>
      </c>
      <c r="C117" s="359"/>
      <c r="D117" s="360"/>
      <c r="E117" s="364">
        <v>90</v>
      </c>
      <c r="F117" s="362">
        <v>113.61</v>
      </c>
      <c r="G117" s="53"/>
      <c r="H117" s="57">
        <v>0</v>
      </c>
      <c r="I117" s="139">
        <f t="shared" si="7"/>
        <v>0</v>
      </c>
    </row>
    <row r="118" spans="1:9" s="31" customFormat="1" ht="12.75">
      <c r="A118" s="217" t="s">
        <v>242</v>
      </c>
      <c r="B118" s="266" t="s">
        <v>5</v>
      </c>
      <c r="C118" s="189"/>
      <c r="D118" s="190"/>
      <c r="E118" s="267">
        <v>140</v>
      </c>
      <c r="F118" s="341">
        <v>19.86</v>
      </c>
      <c r="G118" s="53"/>
      <c r="H118" s="57">
        <v>0</v>
      </c>
      <c r="I118" s="139">
        <f t="shared" si="7"/>
        <v>0</v>
      </c>
    </row>
    <row r="119" spans="1:9" s="31" customFormat="1" ht="12.75">
      <c r="A119" s="217" t="s">
        <v>243</v>
      </c>
      <c r="B119" s="266" t="s">
        <v>593</v>
      </c>
      <c r="C119" s="189"/>
      <c r="D119" s="190"/>
      <c r="E119" s="267">
        <v>140</v>
      </c>
      <c r="F119" s="341">
        <v>43.71875</v>
      </c>
      <c r="G119" s="53"/>
      <c r="H119" s="57">
        <v>0</v>
      </c>
      <c r="I119" s="139">
        <f t="shared" si="7"/>
        <v>0</v>
      </c>
    </row>
    <row r="120" spans="1:9" s="31" customFormat="1" ht="12.75">
      <c r="A120" s="217" t="s">
        <v>244</v>
      </c>
      <c r="B120" s="266" t="s">
        <v>6</v>
      </c>
      <c r="C120" s="189"/>
      <c r="D120" s="190"/>
      <c r="E120" s="267">
        <v>140</v>
      </c>
      <c r="F120" s="341">
        <v>74.96875</v>
      </c>
      <c r="G120" s="53"/>
      <c r="H120" s="57">
        <v>0</v>
      </c>
      <c r="I120" s="139">
        <f t="shared" si="7"/>
        <v>0</v>
      </c>
    </row>
    <row r="121" spans="1:9" s="31" customFormat="1" ht="12.75">
      <c r="A121" s="217" t="s">
        <v>245</v>
      </c>
      <c r="B121" s="266" t="s">
        <v>598</v>
      </c>
      <c r="C121" s="189"/>
      <c r="D121" s="190"/>
      <c r="E121" s="267">
        <v>90</v>
      </c>
      <c r="F121" s="341">
        <v>199.96875</v>
      </c>
      <c r="G121" s="53"/>
      <c r="H121" s="57">
        <v>0</v>
      </c>
      <c r="I121" s="139">
        <f t="shared" si="7"/>
        <v>0</v>
      </c>
    </row>
    <row r="122" spans="1:9" s="31" customFormat="1" ht="12.75">
      <c r="A122" s="358" t="s">
        <v>246</v>
      </c>
      <c r="B122" s="357" t="s">
        <v>601</v>
      </c>
      <c r="C122" s="359"/>
      <c r="D122" s="360"/>
      <c r="E122" s="364">
        <v>140</v>
      </c>
      <c r="F122" s="362">
        <v>14.18</v>
      </c>
      <c r="G122" s="53"/>
      <c r="H122" s="57">
        <v>0</v>
      </c>
      <c r="I122" s="139">
        <f t="shared" si="7"/>
        <v>0</v>
      </c>
    </row>
    <row r="123" spans="1:9" s="31" customFormat="1" ht="12.75">
      <c r="A123" s="358" t="s">
        <v>247</v>
      </c>
      <c r="B123" s="357" t="s">
        <v>7</v>
      </c>
      <c r="C123" s="359"/>
      <c r="D123" s="360"/>
      <c r="E123" s="364">
        <v>140</v>
      </c>
      <c r="F123" s="362">
        <v>22.7</v>
      </c>
      <c r="G123" s="53"/>
      <c r="H123" s="57">
        <v>0</v>
      </c>
      <c r="I123" s="139">
        <f t="shared" si="7"/>
        <v>0</v>
      </c>
    </row>
    <row r="124" spans="1:9" s="31" customFormat="1" ht="12.75">
      <c r="A124" s="358" t="s">
        <v>248</v>
      </c>
      <c r="B124" s="357" t="s">
        <v>606</v>
      </c>
      <c r="C124" s="359"/>
      <c r="D124" s="360"/>
      <c r="E124" s="364">
        <v>90</v>
      </c>
      <c r="F124" s="362">
        <v>45.43</v>
      </c>
      <c r="G124" s="53"/>
      <c r="H124" s="57">
        <v>0</v>
      </c>
      <c r="I124" s="139">
        <f t="shared" si="7"/>
        <v>0</v>
      </c>
    </row>
    <row r="125" spans="1:9" s="31" customFormat="1" ht="12.75">
      <c r="A125" s="217" t="s">
        <v>249</v>
      </c>
      <c r="B125" s="266" t="s">
        <v>609</v>
      </c>
      <c r="C125" s="189"/>
      <c r="D125" s="190"/>
      <c r="E125" s="267">
        <v>140</v>
      </c>
      <c r="F125" s="341">
        <v>5.65</v>
      </c>
      <c r="G125" s="53"/>
      <c r="H125" s="57">
        <v>0</v>
      </c>
      <c r="I125" s="139">
        <f t="shared" si="7"/>
        <v>0</v>
      </c>
    </row>
    <row r="126" spans="1:9" s="31" customFormat="1" ht="12.75">
      <c r="A126" s="217" t="s">
        <v>250</v>
      </c>
      <c r="B126" s="266" t="s">
        <v>8</v>
      </c>
      <c r="C126" s="189"/>
      <c r="D126" s="190"/>
      <c r="E126" s="267">
        <v>140</v>
      </c>
      <c r="F126" s="341">
        <v>7.36</v>
      </c>
      <c r="G126" s="53"/>
      <c r="H126" s="57">
        <v>0</v>
      </c>
      <c r="I126" s="139">
        <f t="shared" si="7"/>
        <v>0</v>
      </c>
    </row>
    <row r="127" spans="1:9" s="31" customFormat="1" ht="12.75">
      <c r="A127" s="217" t="s">
        <v>251</v>
      </c>
      <c r="B127" s="266" t="s">
        <v>614</v>
      </c>
      <c r="C127" s="189"/>
      <c r="D127" s="190"/>
      <c r="E127" s="267">
        <v>90</v>
      </c>
      <c r="F127" s="341">
        <v>15.31</v>
      </c>
      <c r="G127" s="53"/>
      <c r="H127" s="57">
        <v>0</v>
      </c>
      <c r="I127" s="139">
        <f t="shared" si="7"/>
        <v>0</v>
      </c>
    </row>
    <row r="128" spans="1:9" s="31" customFormat="1" ht="12.75">
      <c r="A128" s="358" t="s">
        <v>252</v>
      </c>
      <c r="B128" s="357" t="s">
        <v>617</v>
      </c>
      <c r="C128" s="359"/>
      <c r="D128" s="360"/>
      <c r="E128" s="364">
        <v>140</v>
      </c>
      <c r="F128" s="362">
        <v>5.65</v>
      </c>
      <c r="G128" s="53"/>
      <c r="H128" s="57">
        <v>0</v>
      </c>
      <c r="I128" s="139">
        <f t="shared" si="7"/>
        <v>0</v>
      </c>
    </row>
    <row r="129" spans="1:9" s="31" customFormat="1" ht="12.75">
      <c r="A129" s="358" t="s">
        <v>253</v>
      </c>
      <c r="B129" s="357" t="s">
        <v>9</v>
      </c>
      <c r="C129" s="359"/>
      <c r="D129" s="360"/>
      <c r="E129" s="364">
        <v>140</v>
      </c>
      <c r="F129" s="362">
        <v>7.36</v>
      </c>
      <c r="G129" s="53"/>
      <c r="H129" s="57">
        <v>0</v>
      </c>
      <c r="I129" s="139">
        <f t="shared" si="7"/>
        <v>0</v>
      </c>
    </row>
    <row r="130" spans="1:9" s="31" customFormat="1" ht="12.75">
      <c r="A130" s="358" t="s">
        <v>254</v>
      </c>
      <c r="B130" s="357" t="s">
        <v>622</v>
      </c>
      <c r="C130" s="359"/>
      <c r="D130" s="360"/>
      <c r="E130" s="364">
        <v>90</v>
      </c>
      <c r="F130" s="362">
        <v>15.31</v>
      </c>
      <c r="G130" s="53"/>
      <c r="H130" s="57">
        <v>0</v>
      </c>
      <c r="I130" s="139">
        <f t="shared" si="7"/>
        <v>0</v>
      </c>
    </row>
    <row r="131" spans="1:9" s="31" customFormat="1" ht="12.75">
      <c r="A131" s="217" t="s">
        <v>255</v>
      </c>
      <c r="B131" s="266" t="s">
        <v>625</v>
      </c>
      <c r="C131" s="189"/>
      <c r="D131" s="190"/>
      <c r="E131" s="267">
        <v>140</v>
      </c>
      <c r="F131" s="341">
        <v>14.18</v>
      </c>
      <c r="G131" s="53"/>
      <c r="H131" s="57">
        <v>0</v>
      </c>
      <c r="I131" s="139">
        <f t="shared" si="7"/>
        <v>0</v>
      </c>
    </row>
    <row r="132" spans="1:9" s="31" customFormat="1" ht="12.75">
      <c r="A132" s="217" t="s">
        <v>256</v>
      </c>
      <c r="B132" s="266" t="s">
        <v>10</v>
      </c>
      <c r="C132" s="189"/>
      <c r="D132" s="190"/>
      <c r="E132" s="267">
        <v>140</v>
      </c>
      <c r="F132" s="341">
        <v>22.7</v>
      </c>
      <c r="G132" s="53"/>
      <c r="H132" s="57">
        <v>0</v>
      </c>
      <c r="I132" s="139">
        <f t="shared" si="7"/>
        <v>0</v>
      </c>
    </row>
    <row r="133" spans="1:9" s="31" customFormat="1" ht="12.75">
      <c r="A133" s="217" t="s">
        <v>257</v>
      </c>
      <c r="B133" s="266" t="s">
        <v>630</v>
      </c>
      <c r="C133" s="189"/>
      <c r="D133" s="190"/>
      <c r="E133" s="267">
        <v>90</v>
      </c>
      <c r="F133" s="341">
        <v>54.52</v>
      </c>
      <c r="G133" s="53"/>
      <c r="H133" s="57">
        <v>0</v>
      </c>
      <c r="I133" s="139">
        <f t="shared" ref="I133:I164" si="8">F133*(1-G133)*H133</f>
        <v>0</v>
      </c>
    </row>
    <row r="134" spans="1:9" s="31" customFormat="1" ht="12.75">
      <c r="A134" s="358" t="s">
        <v>258</v>
      </c>
      <c r="B134" s="357" t="s">
        <v>633</v>
      </c>
      <c r="C134" s="359"/>
      <c r="D134" s="360"/>
      <c r="E134" s="364">
        <v>140</v>
      </c>
      <c r="F134" s="362">
        <v>8.49</v>
      </c>
      <c r="G134" s="53"/>
      <c r="H134" s="57">
        <v>0</v>
      </c>
      <c r="I134" s="139">
        <f t="shared" si="8"/>
        <v>0</v>
      </c>
    </row>
    <row r="135" spans="1:9" s="31" customFormat="1" ht="12.75">
      <c r="A135" s="358" t="s">
        <v>259</v>
      </c>
      <c r="B135" s="357" t="s">
        <v>11</v>
      </c>
      <c r="C135" s="359"/>
      <c r="D135" s="360"/>
      <c r="E135" s="364">
        <v>140</v>
      </c>
      <c r="F135" s="362">
        <v>14.18</v>
      </c>
      <c r="G135" s="53"/>
      <c r="H135" s="57">
        <v>0</v>
      </c>
      <c r="I135" s="139">
        <f t="shared" si="8"/>
        <v>0</v>
      </c>
    </row>
    <row r="136" spans="1:9" s="31" customFormat="1" ht="12.75">
      <c r="A136" s="358" t="s">
        <v>260</v>
      </c>
      <c r="B136" s="357" t="s">
        <v>638</v>
      </c>
      <c r="C136" s="359"/>
      <c r="D136" s="360"/>
      <c r="E136" s="364">
        <v>90</v>
      </c>
      <c r="F136" s="362">
        <v>28.38</v>
      </c>
      <c r="G136" s="53"/>
      <c r="H136" s="57">
        <v>0</v>
      </c>
      <c r="I136" s="139">
        <f t="shared" si="8"/>
        <v>0</v>
      </c>
    </row>
    <row r="137" spans="1:9" s="31" customFormat="1" ht="12.75">
      <c r="A137" s="217" t="s">
        <v>261</v>
      </c>
      <c r="B137" s="266" t="s">
        <v>641</v>
      </c>
      <c r="C137" s="189"/>
      <c r="D137" s="190"/>
      <c r="E137" s="267">
        <v>140</v>
      </c>
      <c r="F137" s="341">
        <v>11.34</v>
      </c>
      <c r="G137" s="53"/>
      <c r="H137" s="57">
        <v>0</v>
      </c>
      <c r="I137" s="139">
        <f t="shared" si="8"/>
        <v>0</v>
      </c>
    </row>
    <row r="138" spans="1:9" s="31" customFormat="1" ht="12.75">
      <c r="A138" s="217" t="s">
        <v>262</v>
      </c>
      <c r="B138" s="266" t="s">
        <v>12</v>
      </c>
      <c r="C138" s="189"/>
      <c r="D138" s="190"/>
      <c r="E138" s="267">
        <v>140</v>
      </c>
      <c r="F138" s="341">
        <v>17.02</v>
      </c>
      <c r="G138" s="53"/>
      <c r="H138" s="57">
        <v>0</v>
      </c>
      <c r="I138" s="139">
        <f t="shared" si="8"/>
        <v>0</v>
      </c>
    </row>
    <row r="139" spans="1:9" s="31" customFormat="1" ht="12.75">
      <c r="A139" s="217" t="s">
        <v>263</v>
      </c>
      <c r="B139" s="266" t="s">
        <v>646</v>
      </c>
      <c r="C139" s="189"/>
      <c r="D139" s="190"/>
      <c r="E139" s="267">
        <v>90</v>
      </c>
      <c r="F139" s="341">
        <v>34.06</v>
      </c>
      <c r="G139" s="53"/>
      <c r="H139" s="57">
        <v>0</v>
      </c>
      <c r="I139" s="139">
        <f t="shared" si="8"/>
        <v>0</v>
      </c>
    </row>
    <row r="140" spans="1:9" s="31" customFormat="1" ht="12.75">
      <c r="A140" s="358" t="s">
        <v>1309</v>
      </c>
      <c r="B140" s="357" t="s">
        <v>1310</v>
      </c>
      <c r="C140" s="359"/>
      <c r="D140" s="360"/>
      <c r="E140" s="364">
        <v>140</v>
      </c>
      <c r="F140" s="362">
        <v>9.5</v>
      </c>
      <c r="G140" s="53"/>
      <c r="H140" s="57">
        <v>0</v>
      </c>
      <c r="I140" s="139">
        <f t="shared" si="8"/>
        <v>0</v>
      </c>
    </row>
    <row r="141" spans="1:9" s="31" customFormat="1" ht="12.75">
      <c r="A141" s="358" t="s">
        <v>1312</v>
      </c>
      <c r="B141" s="357" t="s">
        <v>1313</v>
      </c>
      <c r="C141" s="359"/>
      <c r="D141" s="360"/>
      <c r="E141" s="364">
        <v>140</v>
      </c>
      <c r="F141" s="362">
        <v>11.86</v>
      </c>
      <c r="G141" s="53"/>
      <c r="H141" s="57">
        <v>0</v>
      </c>
      <c r="I141" s="139">
        <f t="shared" si="8"/>
        <v>0</v>
      </c>
    </row>
    <row r="142" spans="1:9" s="31" customFormat="1" ht="12.75">
      <c r="A142" s="217" t="s">
        <v>1315</v>
      </c>
      <c r="B142" s="266" t="s">
        <v>1316</v>
      </c>
      <c r="C142" s="189"/>
      <c r="D142" s="190"/>
      <c r="E142" s="267">
        <v>140</v>
      </c>
      <c r="F142" s="341">
        <v>9.84</v>
      </c>
      <c r="G142" s="53"/>
      <c r="H142" s="57">
        <v>0</v>
      </c>
      <c r="I142" s="139">
        <f t="shared" si="8"/>
        <v>0</v>
      </c>
    </row>
    <row r="143" spans="1:9" s="31" customFormat="1" ht="12.75">
      <c r="A143" s="217" t="s">
        <v>1318</v>
      </c>
      <c r="B143" s="266" t="s">
        <v>1319</v>
      </c>
      <c r="C143" s="189"/>
      <c r="D143" s="190"/>
      <c r="E143" s="267">
        <v>140</v>
      </c>
      <c r="F143" s="341">
        <v>13</v>
      </c>
      <c r="G143" s="53"/>
      <c r="H143" s="57">
        <v>0</v>
      </c>
      <c r="I143" s="139">
        <f t="shared" si="8"/>
        <v>0</v>
      </c>
    </row>
    <row r="144" spans="1:9" s="31" customFormat="1" ht="12.75">
      <c r="A144" s="358" t="s">
        <v>1321</v>
      </c>
      <c r="B144" s="357" t="s">
        <v>1322</v>
      </c>
      <c r="C144" s="359"/>
      <c r="D144" s="360"/>
      <c r="E144" s="364">
        <v>140</v>
      </c>
      <c r="F144" s="362">
        <v>9.5</v>
      </c>
      <c r="G144" s="53"/>
      <c r="H144" s="57">
        <v>0</v>
      </c>
      <c r="I144" s="139">
        <f t="shared" si="8"/>
        <v>0</v>
      </c>
    </row>
    <row r="145" spans="1:9" s="31" customFormat="1" ht="12.75">
      <c r="A145" s="358" t="s">
        <v>1324</v>
      </c>
      <c r="B145" s="357" t="s">
        <v>1325</v>
      </c>
      <c r="C145" s="359"/>
      <c r="D145" s="360"/>
      <c r="E145" s="364">
        <v>140</v>
      </c>
      <c r="F145" s="362">
        <v>11.86</v>
      </c>
      <c r="G145" s="53"/>
      <c r="H145" s="57">
        <v>0</v>
      </c>
      <c r="I145" s="139">
        <f t="shared" si="8"/>
        <v>0</v>
      </c>
    </row>
    <row r="146" spans="1:9" s="31" customFormat="1" ht="12.75">
      <c r="A146" s="217" t="s">
        <v>264</v>
      </c>
      <c r="B146" s="266" t="s">
        <v>265</v>
      </c>
      <c r="C146" s="189"/>
      <c r="D146" s="190"/>
      <c r="E146" s="267">
        <v>140</v>
      </c>
      <c r="F146" s="341">
        <v>3.95</v>
      </c>
      <c r="G146" s="53"/>
      <c r="H146" s="57">
        <v>0</v>
      </c>
      <c r="I146" s="139">
        <f t="shared" si="8"/>
        <v>0</v>
      </c>
    </row>
    <row r="147" spans="1:9" s="31" customFormat="1" ht="12.75">
      <c r="A147" s="217" t="s">
        <v>266</v>
      </c>
      <c r="B147" s="266" t="s">
        <v>13</v>
      </c>
      <c r="C147" s="189"/>
      <c r="D147" s="190"/>
      <c r="E147" s="267">
        <v>140</v>
      </c>
      <c r="F147" s="341">
        <v>5.65</v>
      </c>
      <c r="G147" s="53"/>
      <c r="H147" s="57">
        <v>0</v>
      </c>
      <c r="I147" s="139">
        <f t="shared" si="8"/>
        <v>0</v>
      </c>
    </row>
    <row r="148" spans="1:9" s="31" customFormat="1" ht="12.75">
      <c r="A148" s="217" t="s">
        <v>267</v>
      </c>
      <c r="B148" s="266" t="s">
        <v>652</v>
      </c>
      <c r="C148" s="189"/>
      <c r="D148" s="190"/>
      <c r="E148" s="267">
        <v>90</v>
      </c>
      <c r="F148" s="341">
        <v>14.18</v>
      </c>
      <c r="G148" s="53"/>
      <c r="H148" s="57">
        <v>0</v>
      </c>
      <c r="I148" s="139">
        <f t="shared" si="8"/>
        <v>0</v>
      </c>
    </row>
    <row r="149" spans="1:9" s="31" customFormat="1" ht="12.75">
      <c r="A149" s="358" t="s">
        <v>268</v>
      </c>
      <c r="B149" s="357" t="s">
        <v>654</v>
      </c>
      <c r="C149" s="359"/>
      <c r="D149" s="360"/>
      <c r="E149" s="364">
        <v>140</v>
      </c>
      <c r="F149" s="362">
        <v>8.49</v>
      </c>
      <c r="G149" s="53"/>
      <c r="H149" s="57">
        <v>0</v>
      </c>
      <c r="I149" s="139">
        <f t="shared" si="8"/>
        <v>0</v>
      </c>
    </row>
    <row r="150" spans="1:9" s="31" customFormat="1" ht="12.75">
      <c r="A150" s="358" t="s">
        <v>269</v>
      </c>
      <c r="B150" s="357" t="s">
        <v>14</v>
      </c>
      <c r="C150" s="359"/>
      <c r="D150" s="360"/>
      <c r="E150" s="364">
        <v>140</v>
      </c>
      <c r="F150" s="362">
        <v>14.18</v>
      </c>
      <c r="G150" s="53"/>
      <c r="H150" s="57">
        <v>0</v>
      </c>
      <c r="I150" s="139">
        <f t="shared" si="8"/>
        <v>0</v>
      </c>
    </row>
    <row r="151" spans="1:9" s="31" customFormat="1" ht="12.75">
      <c r="A151" s="358" t="s">
        <v>270</v>
      </c>
      <c r="B151" s="357" t="s">
        <v>271</v>
      </c>
      <c r="C151" s="359"/>
      <c r="D151" s="360"/>
      <c r="E151" s="364">
        <v>90</v>
      </c>
      <c r="F151" s="362">
        <v>28.38</v>
      </c>
      <c r="G151" s="53"/>
      <c r="H151" s="57">
        <v>0</v>
      </c>
      <c r="I151" s="139">
        <f t="shared" si="8"/>
        <v>0</v>
      </c>
    </row>
    <row r="152" spans="1:9" s="31" customFormat="1" ht="12.75">
      <c r="A152" s="217" t="s">
        <v>272</v>
      </c>
      <c r="B152" s="266" t="s">
        <v>661</v>
      </c>
      <c r="C152" s="189"/>
      <c r="D152" s="190"/>
      <c r="E152" s="267">
        <v>140</v>
      </c>
      <c r="F152" s="341">
        <v>24.97</v>
      </c>
      <c r="G152" s="53"/>
      <c r="H152" s="57">
        <v>0</v>
      </c>
      <c r="I152" s="139">
        <f t="shared" si="8"/>
        <v>0</v>
      </c>
    </row>
    <row r="153" spans="1:9" s="31" customFormat="1" ht="12.75">
      <c r="A153" s="217" t="s">
        <v>273</v>
      </c>
      <c r="B153" s="266" t="s">
        <v>15</v>
      </c>
      <c r="C153" s="189"/>
      <c r="D153" s="190"/>
      <c r="E153" s="267">
        <v>140</v>
      </c>
      <c r="F153" s="341">
        <v>37.47</v>
      </c>
      <c r="G153" s="53"/>
      <c r="H153" s="57">
        <v>0</v>
      </c>
      <c r="I153" s="139">
        <f t="shared" si="8"/>
        <v>0</v>
      </c>
    </row>
    <row r="154" spans="1:9" s="31" customFormat="1" ht="12.75">
      <c r="A154" s="217" t="s">
        <v>274</v>
      </c>
      <c r="B154" s="266" t="s">
        <v>665</v>
      </c>
      <c r="C154" s="189"/>
      <c r="D154" s="190"/>
      <c r="E154" s="267">
        <v>90</v>
      </c>
      <c r="F154" s="341">
        <v>81.22</v>
      </c>
      <c r="G154" s="53"/>
      <c r="H154" s="57">
        <v>0</v>
      </c>
      <c r="I154" s="139">
        <f t="shared" si="8"/>
        <v>0</v>
      </c>
    </row>
    <row r="155" spans="1:9" s="31" customFormat="1" ht="12.75">
      <c r="A155" s="358" t="s">
        <v>1327</v>
      </c>
      <c r="B155" s="357" t="s">
        <v>1328</v>
      </c>
      <c r="C155" s="359"/>
      <c r="D155" s="360"/>
      <c r="E155" s="364">
        <v>140</v>
      </c>
      <c r="F155" s="362">
        <v>12.43</v>
      </c>
      <c r="G155" s="53"/>
      <c r="H155" s="57">
        <v>0</v>
      </c>
      <c r="I155" s="139">
        <f t="shared" si="8"/>
        <v>0</v>
      </c>
    </row>
    <row r="156" spans="1:9" s="31" customFormat="1" ht="12.75">
      <c r="A156" s="358" t="s">
        <v>1330</v>
      </c>
      <c r="B156" s="357" t="s">
        <v>1331</v>
      </c>
      <c r="C156" s="359"/>
      <c r="D156" s="360"/>
      <c r="E156" s="364">
        <v>140</v>
      </c>
      <c r="F156" s="362">
        <v>20.18</v>
      </c>
      <c r="G156" s="53"/>
      <c r="H156" s="57">
        <v>0</v>
      </c>
      <c r="I156" s="139">
        <f t="shared" si="8"/>
        <v>0</v>
      </c>
    </row>
    <row r="157" spans="1:9" s="31" customFormat="1" ht="12.75">
      <c r="A157" s="217" t="s">
        <v>275</v>
      </c>
      <c r="B157" s="266" t="s">
        <v>667</v>
      </c>
      <c r="C157" s="189"/>
      <c r="D157" s="190"/>
      <c r="E157" s="267">
        <v>140</v>
      </c>
      <c r="F157" s="341">
        <v>8.49</v>
      </c>
      <c r="G157" s="53"/>
      <c r="H157" s="57">
        <v>0</v>
      </c>
      <c r="I157" s="139">
        <f t="shared" si="8"/>
        <v>0</v>
      </c>
    </row>
    <row r="158" spans="1:9" s="31" customFormat="1" ht="12.75">
      <c r="A158" s="217" t="s">
        <v>276</v>
      </c>
      <c r="B158" s="266" t="s">
        <v>16</v>
      </c>
      <c r="C158" s="189"/>
      <c r="D158" s="190"/>
      <c r="E158" s="267">
        <v>140</v>
      </c>
      <c r="F158" s="341">
        <v>13.04</v>
      </c>
      <c r="G158" s="53"/>
      <c r="H158" s="57">
        <v>0</v>
      </c>
      <c r="I158" s="139">
        <f t="shared" si="8"/>
        <v>0</v>
      </c>
    </row>
    <row r="159" spans="1:9" s="31" customFormat="1" ht="12.75">
      <c r="A159" s="217" t="s">
        <v>277</v>
      </c>
      <c r="B159" s="266" t="s">
        <v>672</v>
      </c>
      <c r="C159" s="189"/>
      <c r="D159" s="190"/>
      <c r="E159" s="267">
        <v>90</v>
      </c>
      <c r="F159" s="341">
        <v>28.38</v>
      </c>
      <c r="G159" s="53"/>
      <c r="H159" s="57">
        <v>0</v>
      </c>
      <c r="I159" s="139">
        <f t="shared" si="8"/>
        <v>0</v>
      </c>
    </row>
    <row r="160" spans="1:9" s="31" customFormat="1" ht="12.75">
      <c r="A160" s="358" t="s">
        <v>278</v>
      </c>
      <c r="B160" s="357" t="s">
        <v>279</v>
      </c>
      <c r="C160" s="359"/>
      <c r="D160" s="360"/>
      <c r="E160" s="364">
        <v>140</v>
      </c>
      <c r="F160" s="362">
        <v>11.34</v>
      </c>
      <c r="G160" s="53"/>
      <c r="H160" s="57">
        <v>0</v>
      </c>
      <c r="I160" s="139">
        <f t="shared" si="8"/>
        <v>0</v>
      </c>
    </row>
    <row r="161" spans="1:9" s="31" customFormat="1" ht="12.75">
      <c r="A161" s="358" t="s">
        <v>280</v>
      </c>
      <c r="B161" s="357" t="s">
        <v>17</v>
      </c>
      <c r="C161" s="359"/>
      <c r="D161" s="360"/>
      <c r="E161" s="364">
        <v>140</v>
      </c>
      <c r="F161" s="362">
        <v>17.02</v>
      </c>
      <c r="G161" s="53"/>
      <c r="H161" s="57">
        <v>0</v>
      </c>
      <c r="I161" s="139">
        <f t="shared" si="8"/>
        <v>0</v>
      </c>
    </row>
    <row r="162" spans="1:9" s="31" customFormat="1" ht="12.75">
      <c r="A162" s="358" t="s">
        <v>281</v>
      </c>
      <c r="B162" s="357" t="s">
        <v>679</v>
      </c>
      <c r="C162" s="359"/>
      <c r="D162" s="360"/>
      <c r="E162" s="364">
        <v>90</v>
      </c>
      <c r="F162" s="362">
        <v>34.06</v>
      </c>
      <c r="G162" s="53"/>
      <c r="H162" s="57">
        <v>0</v>
      </c>
      <c r="I162" s="139">
        <f t="shared" si="8"/>
        <v>0</v>
      </c>
    </row>
    <row r="163" spans="1:9" s="31" customFormat="1" ht="12.75">
      <c r="A163" s="217" t="s">
        <v>282</v>
      </c>
      <c r="B163" s="266" t="s">
        <v>681</v>
      </c>
      <c r="C163" s="189"/>
      <c r="D163" s="190"/>
      <c r="E163" s="267">
        <v>140</v>
      </c>
      <c r="F163" s="341">
        <v>11.34</v>
      </c>
      <c r="G163" s="53"/>
      <c r="H163" s="57">
        <v>0</v>
      </c>
      <c r="I163" s="139">
        <f t="shared" si="8"/>
        <v>0</v>
      </c>
    </row>
    <row r="164" spans="1:9" s="31" customFormat="1" ht="12.75">
      <c r="A164" s="217" t="s">
        <v>283</v>
      </c>
      <c r="B164" s="266" t="s">
        <v>18</v>
      </c>
      <c r="C164" s="189"/>
      <c r="D164" s="190"/>
      <c r="E164" s="267">
        <v>140</v>
      </c>
      <c r="F164" s="341">
        <v>17.02</v>
      </c>
      <c r="G164" s="53"/>
      <c r="H164" s="57">
        <v>0</v>
      </c>
      <c r="I164" s="139">
        <f t="shared" si="8"/>
        <v>0</v>
      </c>
    </row>
    <row r="165" spans="1:9" s="31" customFormat="1" ht="12.75">
      <c r="A165" s="217" t="s">
        <v>284</v>
      </c>
      <c r="B165" s="266" t="s">
        <v>686</v>
      </c>
      <c r="C165" s="189"/>
      <c r="D165" s="190"/>
      <c r="E165" s="267">
        <v>90</v>
      </c>
      <c r="F165" s="341">
        <v>34.06</v>
      </c>
      <c r="G165" s="53"/>
      <c r="H165" s="57">
        <v>0</v>
      </c>
      <c r="I165" s="139">
        <f t="shared" ref="I165:I196" si="9">F165*(1-G165)*H165</f>
        <v>0</v>
      </c>
    </row>
    <row r="166" spans="1:9" s="31" customFormat="1" ht="12.75">
      <c r="A166" s="358" t="s">
        <v>1333</v>
      </c>
      <c r="B166" s="357" t="s">
        <v>1334</v>
      </c>
      <c r="C166" s="359"/>
      <c r="D166" s="360"/>
      <c r="E166" s="364">
        <v>140</v>
      </c>
      <c r="F166" s="362">
        <v>13</v>
      </c>
      <c r="G166" s="53"/>
      <c r="H166" s="57">
        <v>0</v>
      </c>
      <c r="I166" s="139">
        <f t="shared" si="9"/>
        <v>0</v>
      </c>
    </row>
    <row r="167" spans="1:9" s="31" customFormat="1" ht="12.75">
      <c r="A167" s="358" t="s">
        <v>1336</v>
      </c>
      <c r="B167" s="357" t="s">
        <v>1337</v>
      </c>
      <c r="C167" s="359"/>
      <c r="D167" s="360"/>
      <c r="E167" s="364">
        <v>140</v>
      </c>
      <c r="F167" s="362">
        <v>21.32</v>
      </c>
      <c r="G167" s="53"/>
      <c r="H167" s="57">
        <v>0</v>
      </c>
      <c r="I167" s="139">
        <f t="shared" si="9"/>
        <v>0</v>
      </c>
    </row>
    <row r="168" spans="1:9" s="31" customFormat="1" ht="12.75">
      <c r="A168" s="217" t="s">
        <v>285</v>
      </c>
      <c r="B168" s="266" t="s">
        <v>19</v>
      </c>
      <c r="C168" s="189"/>
      <c r="D168" s="190"/>
      <c r="E168" s="267">
        <v>140</v>
      </c>
      <c r="F168" s="341">
        <v>28.38</v>
      </c>
      <c r="G168" s="53"/>
      <c r="H168" s="57">
        <v>0</v>
      </c>
      <c r="I168" s="139">
        <f t="shared" si="9"/>
        <v>0</v>
      </c>
    </row>
    <row r="169" spans="1:9" s="31" customFormat="1" ht="12.75">
      <c r="A169" s="217" t="s">
        <v>286</v>
      </c>
      <c r="B169" s="266" t="s">
        <v>691</v>
      </c>
      <c r="C169" s="189"/>
      <c r="D169" s="190"/>
      <c r="E169" s="267">
        <v>140</v>
      </c>
      <c r="F169" s="341">
        <v>56.79</v>
      </c>
      <c r="G169" s="53"/>
      <c r="H169" s="57">
        <v>0</v>
      </c>
      <c r="I169" s="139">
        <f t="shared" si="9"/>
        <v>0</v>
      </c>
    </row>
    <row r="170" spans="1:9" s="31" customFormat="1" ht="12.75">
      <c r="A170" s="217" t="s">
        <v>287</v>
      </c>
      <c r="B170" s="266" t="s">
        <v>20</v>
      </c>
      <c r="C170" s="189"/>
      <c r="D170" s="190"/>
      <c r="E170" s="267">
        <v>140</v>
      </c>
      <c r="F170" s="341">
        <v>90.88</v>
      </c>
      <c r="G170" s="53"/>
      <c r="H170" s="57">
        <v>0</v>
      </c>
      <c r="I170" s="139">
        <f t="shared" si="9"/>
        <v>0</v>
      </c>
    </row>
    <row r="171" spans="1:9" s="31" customFormat="1" ht="12.75">
      <c r="A171" s="217" t="s">
        <v>288</v>
      </c>
      <c r="B171" s="266" t="s">
        <v>696</v>
      </c>
      <c r="C171" s="189"/>
      <c r="D171" s="190"/>
      <c r="E171" s="267">
        <v>90</v>
      </c>
      <c r="F171" s="341">
        <v>204.52</v>
      </c>
      <c r="G171" s="53"/>
      <c r="H171" s="57">
        <v>0</v>
      </c>
      <c r="I171" s="139">
        <f t="shared" si="9"/>
        <v>0</v>
      </c>
    </row>
    <row r="172" spans="1:9" s="31" customFormat="1" ht="12.75">
      <c r="A172" s="358" t="s">
        <v>289</v>
      </c>
      <c r="B172" s="357" t="s">
        <v>21</v>
      </c>
      <c r="C172" s="359"/>
      <c r="D172" s="360"/>
      <c r="E172" s="364">
        <v>140</v>
      </c>
      <c r="F172" s="362">
        <v>45.43</v>
      </c>
      <c r="G172" s="53"/>
      <c r="H172" s="57">
        <v>0</v>
      </c>
      <c r="I172" s="139">
        <f t="shared" si="9"/>
        <v>0</v>
      </c>
    </row>
    <row r="173" spans="1:9" s="31" customFormat="1" ht="12.75">
      <c r="A173" s="358" t="s">
        <v>290</v>
      </c>
      <c r="B173" s="357" t="s">
        <v>700</v>
      </c>
      <c r="C173" s="359"/>
      <c r="D173" s="360"/>
      <c r="E173" s="364">
        <v>140</v>
      </c>
      <c r="F173" s="362">
        <v>102.24</v>
      </c>
      <c r="G173" s="53"/>
      <c r="H173" s="57">
        <v>0</v>
      </c>
      <c r="I173" s="139">
        <f t="shared" si="9"/>
        <v>0</v>
      </c>
    </row>
    <row r="174" spans="1:9" s="31" customFormat="1" ht="12.75">
      <c r="A174" s="358" t="s">
        <v>291</v>
      </c>
      <c r="B174" s="357" t="s">
        <v>22</v>
      </c>
      <c r="C174" s="359"/>
      <c r="D174" s="360"/>
      <c r="E174" s="364">
        <v>140</v>
      </c>
      <c r="F174" s="362">
        <v>198.84</v>
      </c>
      <c r="G174" s="53"/>
      <c r="H174" s="57">
        <v>0</v>
      </c>
      <c r="I174" s="139">
        <f t="shared" si="9"/>
        <v>0</v>
      </c>
    </row>
    <row r="175" spans="1:9" s="31" customFormat="1" ht="12.75">
      <c r="A175" s="358" t="s">
        <v>292</v>
      </c>
      <c r="B175" s="357" t="s">
        <v>705</v>
      </c>
      <c r="C175" s="359"/>
      <c r="D175" s="360"/>
      <c r="E175" s="364">
        <v>90</v>
      </c>
      <c r="F175" s="362">
        <v>495</v>
      </c>
      <c r="G175" s="53"/>
      <c r="H175" s="57">
        <v>0</v>
      </c>
      <c r="I175" s="139">
        <f t="shared" si="9"/>
        <v>0</v>
      </c>
    </row>
    <row r="176" spans="1:9" s="31" customFormat="1" ht="12.75">
      <c r="A176" s="217" t="s">
        <v>293</v>
      </c>
      <c r="B176" s="266" t="s">
        <v>294</v>
      </c>
      <c r="C176" s="189"/>
      <c r="D176" s="190"/>
      <c r="E176" s="267">
        <v>140</v>
      </c>
      <c r="F176" s="341">
        <v>15.31</v>
      </c>
      <c r="G176" s="53"/>
      <c r="H176" s="57">
        <v>0</v>
      </c>
      <c r="I176" s="139">
        <f t="shared" si="9"/>
        <v>0</v>
      </c>
    </row>
    <row r="177" spans="1:9" s="31" customFormat="1" ht="12.75">
      <c r="A177" s="217" t="s">
        <v>295</v>
      </c>
      <c r="B177" s="266" t="s">
        <v>23</v>
      </c>
      <c r="C177" s="189"/>
      <c r="D177" s="190"/>
      <c r="E177" s="267">
        <v>140</v>
      </c>
      <c r="F177" s="341">
        <v>22.7</v>
      </c>
      <c r="G177" s="53"/>
      <c r="H177" s="57">
        <v>0</v>
      </c>
      <c r="I177" s="139">
        <f t="shared" si="9"/>
        <v>0</v>
      </c>
    </row>
    <row r="178" spans="1:9" s="31" customFormat="1" ht="12.75">
      <c r="A178" s="217" t="s">
        <v>296</v>
      </c>
      <c r="B178" s="266" t="s">
        <v>712</v>
      </c>
      <c r="C178" s="189"/>
      <c r="D178" s="190"/>
      <c r="E178" s="267">
        <v>90</v>
      </c>
      <c r="F178" s="341">
        <v>51.11</v>
      </c>
      <c r="G178" s="53"/>
      <c r="H178" s="57">
        <v>0</v>
      </c>
      <c r="I178" s="139">
        <f t="shared" si="9"/>
        <v>0</v>
      </c>
    </row>
    <row r="179" spans="1:9" s="31" customFormat="1" ht="12.75">
      <c r="A179" s="358" t="s">
        <v>297</v>
      </c>
      <c r="B179" s="357" t="s">
        <v>715</v>
      </c>
      <c r="C179" s="359"/>
      <c r="D179" s="360"/>
      <c r="E179" s="364">
        <v>140</v>
      </c>
      <c r="F179" s="362">
        <v>4.5199999999999996</v>
      </c>
      <c r="G179" s="53"/>
      <c r="H179" s="57">
        <v>0</v>
      </c>
      <c r="I179" s="139">
        <f t="shared" si="9"/>
        <v>0</v>
      </c>
    </row>
    <row r="180" spans="1:9" s="31" customFormat="1" ht="12.75">
      <c r="A180" s="358" t="s">
        <v>298</v>
      </c>
      <c r="B180" s="357" t="s">
        <v>24</v>
      </c>
      <c r="C180" s="359"/>
      <c r="D180" s="360"/>
      <c r="E180" s="364">
        <v>140</v>
      </c>
      <c r="F180" s="362">
        <v>6.79</v>
      </c>
      <c r="G180" s="53"/>
      <c r="H180" s="57">
        <v>0</v>
      </c>
      <c r="I180" s="139">
        <f t="shared" si="9"/>
        <v>0</v>
      </c>
    </row>
    <row r="181" spans="1:9" s="31" customFormat="1" ht="12.75">
      <c r="A181" s="358" t="s">
        <v>299</v>
      </c>
      <c r="B181" s="357" t="s">
        <v>720</v>
      </c>
      <c r="C181" s="359"/>
      <c r="D181" s="360"/>
      <c r="E181" s="364">
        <v>90</v>
      </c>
      <c r="F181" s="362">
        <v>13.04</v>
      </c>
      <c r="G181" s="53"/>
      <c r="H181" s="57">
        <v>0</v>
      </c>
      <c r="I181" s="139">
        <f t="shared" si="9"/>
        <v>0</v>
      </c>
    </row>
    <row r="182" spans="1:9" s="31" customFormat="1" ht="12.75">
      <c r="A182" s="217" t="s">
        <v>300</v>
      </c>
      <c r="B182" s="266" t="s">
        <v>723</v>
      </c>
      <c r="C182" s="189"/>
      <c r="D182" s="190"/>
      <c r="E182" s="267">
        <v>140</v>
      </c>
      <c r="F182" s="341">
        <v>5.65</v>
      </c>
      <c r="G182" s="53"/>
      <c r="H182" s="57">
        <v>0</v>
      </c>
      <c r="I182" s="139">
        <f t="shared" si="9"/>
        <v>0</v>
      </c>
    </row>
    <row r="183" spans="1:9" s="31" customFormat="1" ht="12.75">
      <c r="A183" s="217" t="s">
        <v>301</v>
      </c>
      <c r="B183" s="266" t="s">
        <v>25</v>
      </c>
      <c r="C183" s="189"/>
      <c r="D183" s="190"/>
      <c r="E183" s="267">
        <v>140</v>
      </c>
      <c r="F183" s="341">
        <v>8.49</v>
      </c>
      <c r="G183" s="53"/>
      <c r="H183" s="57">
        <v>0</v>
      </c>
      <c r="I183" s="139">
        <f t="shared" si="9"/>
        <v>0</v>
      </c>
    </row>
    <row r="184" spans="1:9" s="31" customFormat="1" ht="12.75">
      <c r="A184" s="217" t="s">
        <v>302</v>
      </c>
      <c r="B184" s="266" t="s">
        <v>728</v>
      </c>
      <c r="C184" s="189"/>
      <c r="D184" s="190"/>
      <c r="E184" s="267">
        <v>90</v>
      </c>
      <c r="F184" s="341">
        <v>17.02</v>
      </c>
      <c r="G184" s="53"/>
      <c r="H184" s="57">
        <v>0</v>
      </c>
      <c r="I184" s="139">
        <f t="shared" si="9"/>
        <v>0</v>
      </c>
    </row>
    <row r="185" spans="1:9" s="31" customFormat="1" ht="12.75">
      <c r="A185" s="358" t="s">
        <v>303</v>
      </c>
      <c r="B185" s="357" t="s">
        <v>731</v>
      </c>
      <c r="C185" s="359"/>
      <c r="D185" s="360"/>
      <c r="E185" s="364">
        <v>140</v>
      </c>
      <c r="F185" s="362">
        <v>5.09</v>
      </c>
      <c r="G185" s="53"/>
      <c r="H185" s="57">
        <v>0</v>
      </c>
      <c r="I185" s="139">
        <f t="shared" si="9"/>
        <v>0</v>
      </c>
    </row>
    <row r="186" spans="1:9" s="31" customFormat="1" ht="12.75">
      <c r="A186" s="358" t="s">
        <v>304</v>
      </c>
      <c r="B186" s="357" t="s">
        <v>26</v>
      </c>
      <c r="C186" s="359"/>
      <c r="D186" s="360"/>
      <c r="E186" s="364">
        <v>140</v>
      </c>
      <c r="F186" s="362">
        <v>7.93</v>
      </c>
      <c r="G186" s="53"/>
      <c r="H186" s="57">
        <v>0</v>
      </c>
      <c r="I186" s="139">
        <f t="shared" si="9"/>
        <v>0</v>
      </c>
    </row>
    <row r="187" spans="1:9" s="31" customFormat="1" ht="12.75">
      <c r="A187" s="358" t="s">
        <v>305</v>
      </c>
      <c r="B187" s="357" t="s">
        <v>736</v>
      </c>
      <c r="C187" s="359"/>
      <c r="D187" s="360"/>
      <c r="E187" s="364">
        <v>90</v>
      </c>
      <c r="F187" s="362">
        <v>15.31</v>
      </c>
      <c r="G187" s="53"/>
      <c r="H187" s="57">
        <v>0</v>
      </c>
      <c r="I187" s="139">
        <f t="shared" si="9"/>
        <v>0</v>
      </c>
    </row>
    <row r="188" spans="1:9" s="31" customFormat="1" ht="12.75">
      <c r="A188" s="217" t="s">
        <v>306</v>
      </c>
      <c r="B188" s="266" t="s">
        <v>739</v>
      </c>
      <c r="C188" s="189"/>
      <c r="D188" s="190"/>
      <c r="E188" s="267">
        <v>140</v>
      </c>
      <c r="F188" s="341">
        <v>7.36</v>
      </c>
      <c r="G188" s="53"/>
      <c r="H188" s="57">
        <v>0</v>
      </c>
      <c r="I188" s="139">
        <f t="shared" si="9"/>
        <v>0</v>
      </c>
    </row>
    <row r="189" spans="1:9" s="31" customFormat="1" ht="12.75">
      <c r="A189" s="217" t="s">
        <v>307</v>
      </c>
      <c r="B189" s="266" t="s">
        <v>27</v>
      </c>
      <c r="C189" s="189"/>
      <c r="D189" s="190"/>
      <c r="E189" s="267">
        <v>140</v>
      </c>
      <c r="F189" s="341">
        <v>11.34</v>
      </c>
      <c r="G189" s="53"/>
      <c r="H189" s="57">
        <v>0</v>
      </c>
      <c r="I189" s="139">
        <f t="shared" si="9"/>
        <v>0</v>
      </c>
    </row>
    <row r="190" spans="1:9" s="31" customFormat="1" ht="12.75">
      <c r="A190" s="217" t="s">
        <v>308</v>
      </c>
      <c r="B190" s="266" t="s">
        <v>744</v>
      </c>
      <c r="C190" s="189"/>
      <c r="D190" s="190"/>
      <c r="E190" s="267">
        <v>90</v>
      </c>
      <c r="F190" s="341">
        <v>26.11</v>
      </c>
      <c r="G190" s="53"/>
      <c r="H190" s="57">
        <v>0</v>
      </c>
      <c r="I190" s="139">
        <f t="shared" si="9"/>
        <v>0</v>
      </c>
    </row>
    <row r="191" spans="1:9" s="31" customFormat="1" ht="12.75">
      <c r="A191" s="358" t="s">
        <v>309</v>
      </c>
      <c r="B191" s="357" t="s">
        <v>747</v>
      </c>
      <c r="C191" s="359"/>
      <c r="D191" s="360"/>
      <c r="E191" s="364">
        <v>140</v>
      </c>
      <c r="F191" s="362">
        <v>5.09</v>
      </c>
      <c r="G191" s="53"/>
      <c r="H191" s="57">
        <v>0</v>
      </c>
      <c r="I191" s="139">
        <f t="shared" si="9"/>
        <v>0</v>
      </c>
    </row>
    <row r="192" spans="1:9" s="31" customFormat="1" ht="12.75">
      <c r="A192" s="358" t="s">
        <v>310</v>
      </c>
      <c r="B192" s="357" t="s">
        <v>28</v>
      </c>
      <c r="C192" s="359"/>
      <c r="D192" s="360"/>
      <c r="E192" s="364">
        <v>140</v>
      </c>
      <c r="F192" s="362">
        <v>7.36</v>
      </c>
      <c r="G192" s="53"/>
      <c r="H192" s="57">
        <v>0</v>
      </c>
      <c r="I192" s="139">
        <f t="shared" si="9"/>
        <v>0</v>
      </c>
    </row>
    <row r="193" spans="1:9" s="31" customFormat="1" ht="12.75">
      <c r="A193" s="358" t="s">
        <v>311</v>
      </c>
      <c r="B193" s="357" t="s">
        <v>752</v>
      </c>
      <c r="C193" s="359"/>
      <c r="D193" s="360"/>
      <c r="E193" s="364">
        <v>90</v>
      </c>
      <c r="F193" s="362">
        <v>14.18</v>
      </c>
      <c r="G193" s="53"/>
      <c r="H193" s="57">
        <v>0</v>
      </c>
      <c r="I193" s="139">
        <f t="shared" si="9"/>
        <v>0</v>
      </c>
    </row>
    <row r="194" spans="1:9" s="31" customFormat="1" ht="12.75">
      <c r="A194" s="217" t="s">
        <v>312</v>
      </c>
      <c r="B194" s="266" t="s">
        <v>755</v>
      </c>
      <c r="C194" s="189"/>
      <c r="D194" s="190"/>
      <c r="E194" s="267">
        <v>140</v>
      </c>
      <c r="F194" s="341">
        <v>6.22</v>
      </c>
      <c r="G194" s="53"/>
      <c r="H194" s="57">
        <v>0</v>
      </c>
      <c r="I194" s="139">
        <f t="shared" si="9"/>
        <v>0</v>
      </c>
    </row>
    <row r="195" spans="1:9" s="31" customFormat="1" ht="12.75">
      <c r="A195" s="217" t="s">
        <v>313</v>
      </c>
      <c r="B195" s="266" t="s">
        <v>29</v>
      </c>
      <c r="C195" s="189"/>
      <c r="D195" s="190"/>
      <c r="E195" s="267">
        <v>140</v>
      </c>
      <c r="F195" s="341">
        <v>9.6300000000000008</v>
      </c>
      <c r="G195" s="53"/>
      <c r="H195" s="57">
        <v>0</v>
      </c>
      <c r="I195" s="139">
        <f t="shared" si="9"/>
        <v>0</v>
      </c>
    </row>
    <row r="196" spans="1:9" s="31" customFormat="1" ht="12.75">
      <c r="A196" s="217" t="s">
        <v>314</v>
      </c>
      <c r="B196" s="266" t="s">
        <v>760</v>
      </c>
      <c r="C196" s="189"/>
      <c r="D196" s="190"/>
      <c r="E196" s="267">
        <v>90</v>
      </c>
      <c r="F196" s="341">
        <v>19.86</v>
      </c>
      <c r="G196" s="53"/>
      <c r="H196" s="57">
        <v>0</v>
      </c>
      <c r="I196" s="139">
        <f t="shared" si="9"/>
        <v>0</v>
      </c>
    </row>
    <row r="197" spans="1:9" s="31" customFormat="1" ht="12.75">
      <c r="A197" s="358" t="s">
        <v>315</v>
      </c>
      <c r="B197" s="357" t="s">
        <v>763</v>
      </c>
      <c r="C197" s="359"/>
      <c r="D197" s="360"/>
      <c r="E197" s="364">
        <v>140</v>
      </c>
      <c r="F197" s="362">
        <v>5.65</v>
      </c>
      <c r="G197" s="53"/>
      <c r="H197" s="57">
        <v>0</v>
      </c>
      <c r="I197" s="139">
        <f t="shared" ref="I197:I228" si="10">F197*(1-G197)*H197</f>
        <v>0</v>
      </c>
    </row>
    <row r="198" spans="1:9" s="31" customFormat="1" ht="12.75">
      <c r="A198" s="358" t="s">
        <v>316</v>
      </c>
      <c r="B198" s="357" t="s">
        <v>30</v>
      </c>
      <c r="C198" s="359"/>
      <c r="D198" s="360"/>
      <c r="E198" s="364">
        <v>140</v>
      </c>
      <c r="F198" s="362">
        <v>7.36</v>
      </c>
      <c r="G198" s="53"/>
      <c r="H198" s="57">
        <v>0</v>
      </c>
      <c r="I198" s="139">
        <f t="shared" si="10"/>
        <v>0</v>
      </c>
    </row>
    <row r="199" spans="1:9" s="31" customFormat="1" ht="12.75">
      <c r="A199" s="358" t="s">
        <v>317</v>
      </c>
      <c r="B199" s="357" t="s">
        <v>768</v>
      </c>
      <c r="C199" s="359"/>
      <c r="D199" s="360"/>
      <c r="E199" s="364">
        <v>90</v>
      </c>
      <c r="F199" s="362">
        <v>14.18</v>
      </c>
      <c r="G199" s="53"/>
      <c r="H199" s="57">
        <v>0</v>
      </c>
      <c r="I199" s="139">
        <f t="shared" si="10"/>
        <v>0</v>
      </c>
    </row>
    <row r="200" spans="1:9" s="31" customFormat="1" ht="12.75">
      <c r="A200" s="217" t="s">
        <v>318</v>
      </c>
      <c r="B200" s="266" t="s">
        <v>771</v>
      </c>
      <c r="C200" s="189"/>
      <c r="D200" s="190"/>
      <c r="E200" s="267">
        <v>140</v>
      </c>
      <c r="F200" s="341">
        <v>7.36</v>
      </c>
      <c r="G200" s="53"/>
      <c r="H200" s="57">
        <v>0</v>
      </c>
      <c r="I200" s="139">
        <f t="shared" si="10"/>
        <v>0</v>
      </c>
    </row>
    <row r="201" spans="1:9" s="31" customFormat="1" ht="12.75">
      <c r="A201" s="217" t="s">
        <v>319</v>
      </c>
      <c r="B201" s="266" t="s">
        <v>31</v>
      </c>
      <c r="C201" s="189"/>
      <c r="D201" s="190"/>
      <c r="E201" s="267">
        <v>140</v>
      </c>
      <c r="F201" s="341">
        <v>11.34</v>
      </c>
      <c r="G201" s="53"/>
      <c r="H201" s="57">
        <v>0</v>
      </c>
      <c r="I201" s="139">
        <f t="shared" si="10"/>
        <v>0</v>
      </c>
    </row>
    <row r="202" spans="1:9" s="31" customFormat="1" ht="12.75">
      <c r="A202" s="217" t="s">
        <v>320</v>
      </c>
      <c r="B202" s="266" t="s">
        <v>776</v>
      </c>
      <c r="C202" s="189"/>
      <c r="D202" s="190"/>
      <c r="E202" s="267">
        <v>90</v>
      </c>
      <c r="F202" s="341">
        <v>22.7</v>
      </c>
      <c r="G202" s="53"/>
      <c r="H202" s="57">
        <v>0</v>
      </c>
      <c r="I202" s="139">
        <f t="shared" si="10"/>
        <v>0</v>
      </c>
    </row>
    <row r="203" spans="1:9" s="31" customFormat="1" ht="12.75">
      <c r="A203" s="358" t="s">
        <v>321</v>
      </c>
      <c r="B203" s="357" t="s">
        <v>779</v>
      </c>
      <c r="C203" s="359"/>
      <c r="D203" s="360"/>
      <c r="E203" s="364">
        <v>140</v>
      </c>
      <c r="F203" s="362">
        <v>7.36</v>
      </c>
      <c r="G203" s="53"/>
      <c r="H203" s="57">
        <v>0</v>
      </c>
      <c r="I203" s="139">
        <f t="shared" si="10"/>
        <v>0</v>
      </c>
    </row>
    <row r="204" spans="1:9" s="31" customFormat="1" ht="12.75">
      <c r="A204" s="358" t="s">
        <v>322</v>
      </c>
      <c r="B204" s="357" t="s">
        <v>32</v>
      </c>
      <c r="C204" s="359"/>
      <c r="D204" s="360"/>
      <c r="E204" s="364">
        <v>140</v>
      </c>
      <c r="F204" s="362">
        <v>9.6300000000000008</v>
      </c>
      <c r="G204" s="53"/>
      <c r="H204" s="57">
        <v>0</v>
      </c>
      <c r="I204" s="139">
        <f t="shared" si="10"/>
        <v>0</v>
      </c>
    </row>
    <row r="205" spans="1:9" s="31" customFormat="1" ht="12.75">
      <c r="A205" s="358" t="s">
        <v>323</v>
      </c>
      <c r="B205" s="357" t="s">
        <v>784</v>
      </c>
      <c r="C205" s="359"/>
      <c r="D205" s="360"/>
      <c r="E205" s="364">
        <v>90</v>
      </c>
      <c r="F205" s="362">
        <v>22.7</v>
      </c>
      <c r="G205" s="53"/>
      <c r="H205" s="57">
        <v>0</v>
      </c>
      <c r="I205" s="139">
        <f t="shared" si="10"/>
        <v>0</v>
      </c>
    </row>
    <row r="206" spans="1:9" s="31" customFormat="1" ht="12.75">
      <c r="A206" s="217" t="s">
        <v>324</v>
      </c>
      <c r="B206" s="266" t="s">
        <v>787</v>
      </c>
      <c r="C206" s="189"/>
      <c r="D206" s="190"/>
      <c r="E206" s="267">
        <v>140</v>
      </c>
      <c r="F206" s="341">
        <v>8.49</v>
      </c>
      <c r="G206" s="53"/>
      <c r="H206" s="57">
        <v>0</v>
      </c>
      <c r="I206" s="139">
        <f t="shared" si="10"/>
        <v>0</v>
      </c>
    </row>
    <row r="207" spans="1:9" s="31" customFormat="1" ht="12.75">
      <c r="A207" s="217" t="s">
        <v>325</v>
      </c>
      <c r="B207" s="266" t="s">
        <v>33</v>
      </c>
      <c r="C207" s="189"/>
      <c r="D207" s="190"/>
      <c r="E207" s="267">
        <v>140</v>
      </c>
      <c r="F207" s="341">
        <v>14.18</v>
      </c>
      <c r="G207" s="53"/>
      <c r="H207" s="57">
        <v>0</v>
      </c>
      <c r="I207" s="139">
        <f t="shared" si="10"/>
        <v>0</v>
      </c>
    </row>
    <row r="208" spans="1:9" s="31" customFormat="1" ht="12.75">
      <c r="A208" s="217" t="s">
        <v>326</v>
      </c>
      <c r="B208" s="266" t="s">
        <v>792</v>
      </c>
      <c r="C208" s="189"/>
      <c r="D208" s="190"/>
      <c r="E208" s="267">
        <v>90</v>
      </c>
      <c r="F208" s="341">
        <v>28.38</v>
      </c>
      <c r="G208" s="53"/>
      <c r="H208" s="57">
        <v>0</v>
      </c>
      <c r="I208" s="139">
        <f t="shared" si="10"/>
        <v>0</v>
      </c>
    </row>
    <row r="209" spans="1:9" s="31" customFormat="1" ht="12.75">
      <c r="A209" s="358" t="s">
        <v>327</v>
      </c>
      <c r="B209" s="357" t="s">
        <v>795</v>
      </c>
      <c r="C209" s="359"/>
      <c r="D209" s="360"/>
      <c r="E209" s="364">
        <v>140</v>
      </c>
      <c r="F209" s="362">
        <v>7.36</v>
      </c>
      <c r="G209" s="53"/>
      <c r="H209" s="57">
        <v>0</v>
      </c>
      <c r="I209" s="139">
        <f t="shared" si="10"/>
        <v>0</v>
      </c>
    </row>
    <row r="210" spans="1:9" s="31" customFormat="1" ht="12.75">
      <c r="A210" s="358" t="s">
        <v>328</v>
      </c>
      <c r="B210" s="357" t="s">
        <v>34</v>
      </c>
      <c r="C210" s="359"/>
      <c r="D210" s="360"/>
      <c r="E210" s="364">
        <v>140</v>
      </c>
      <c r="F210" s="362">
        <v>9.6300000000000008</v>
      </c>
      <c r="G210" s="53"/>
      <c r="H210" s="57">
        <v>0</v>
      </c>
      <c r="I210" s="139">
        <f t="shared" si="10"/>
        <v>0</v>
      </c>
    </row>
    <row r="211" spans="1:9" s="31" customFormat="1" ht="12.75">
      <c r="A211" s="358" t="s">
        <v>329</v>
      </c>
      <c r="B211" s="357" t="s">
        <v>799</v>
      </c>
      <c r="C211" s="359"/>
      <c r="D211" s="360"/>
      <c r="E211" s="364">
        <v>90</v>
      </c>
      <c r="F211" s="362">
        <v>22.7</v>
      </c>
      <c r="G211" s="53"/>
      <c r="H211" s="57">
        <v>0</v>
      </c>
      <c r="I211" s="139">
        <f t="shared" si="10"/>
        <v>0</v>
      </c>
    </row>
    <row r="212" spans="1:9" s="31" customFormat="1" ht="12.75">
      <c r="A212" s="217" t="s">
        <v>1339</v>
      </c>
      <c r="B212" s="266" t="s">
        <v>1340</v>
      </c>
      <c r="C212" s="189"/>
      <c r="D212" s="190"/>
      <c r="E212" s="267">
        <v>140</v>
      </c>
      <c r="F212" s="341">
        <v>16.8</v>
      </c>
      <c r="G212" s="53"/>
      <c r="H212" s="57">
        <v>0</v>
      </c>
      <c r="I212" s="139">
        <f t="shared" si="10"/>
        <v>0</v>
      </c>
    </row>
    <row r="213" spans="1:9" s="31" customFormat="1" ht="12.75">
      <c r="A213" s="217" t="s">
        <v>1342</v>
      </c>
      <c r="B213" s="266" t="s">
        <v>1343</v>
      </c>
      <c r="C213" s="189"/>
      <c r="D213" s="190"/>
      <c r="E213" s="267">
        <v>140</v>
      </c>
      <c r="F213" s="341">
        <v>28.93</v>
      </c>
      <c r="G213" s="53"/>
      <c r="H213" s="57">
        <v>0</v>
      </c>
      <c r="I213" s="139">
        <f t="shared" si="10"/>
        <v>0</v>
      </c>
    </row>
    <row r="214" spans="1:9" s="31" customFormat="1" ht="12.75">
      <c r="A214" s="358" t="s">
        <v>330</v>
      </c>
      <c r="B214" s="357" t="s">
        <v>35</v>
      </c>
      <c r="C214" s="359"/>
      <c r="D214" s="360"/>
      <c r="E214" s="364">
        <v>140</v>
      </c>
      <c r="F214" s="362">
        <v>39.74</v>
      </c>
      <c r="G214" s="53"/>
      <c r="H214" s="57">
        <v>0</v>
      </c>
      <c r="I214" s="139">
        <f t="shared" si="10"/>
        <v>0</v>
      </c>
    </row>
    <row r="215" spans="1:9" s="31" customFormat="1" ht="12.75">
      <c r="A215" s="358" t="s">
        <v>331</v>
      </c>
      <c r="B215" s="357" t="s">
        <v>332</v>
      </c>
      <c r="C215" s="359"/>
      <c r="D215" s="360"/>
      <c r="E215" s="364">
        <v>140</v>
      </c>
      <c r="F215" s="362">
        <v>82.36</v>
      </c>
      <c r="G215" s="53"/>
      <c r="H215" s="57">
        <v>0</v>
      </c>
      <c r="I215" s="139">
        <f t="shared" si="10"/>
        <v>0</v>
      </c>
    </row>
    <row r="216" spans="1:9" s="31" customFormat="1" ht="12.75">
      <c r="A216" s="358" t="s">
        <v>333</v>
      </c>
      <c r="B216" s="357" t="s">
        <v>36</v>
      </c>
      <c r="C216" s="359"/>
      <c r="D216" s="360"/>
      <c r="E216" s="364">
        <v>140</v>
      </c>
      <c r="F216" s="362">
        <v>130.65</v>
      </c>
      <c r="G216" s="53"/>
      <c r="H216" s="57">
        <v>0</v>
      </c>
      <c r="I216" s="139">
        <f t="shared" si="10"/>
        <v>0</v>
      </c>
    </row>
    <row r="217" spans="1:9" s="31" customFormat="1" ht="12.75">
      <c r="A217" s="358" t="s">
        <v>334</v>
      </c>
      <c r="B217" s="357" t="s">
        <v>335</v>
      </c>
      <c r="C217" s="359"/>
      <c r="D217" s="360"/>
      <c r="E217" s="364">
        <v>90</v>
      </c>
      <c r="F217" s="362">
        <v>284.06</v>
      </c>
      <c r="G217" s="53"/>
      <c r="H217" s="57">
        <v>0</v>
      </c>
      <c r="I217" s="139">
        <f t="shared" si="10"/>
        <v>0</v>
      </c>
    </row>
    <row r="218" spans="1:9" s="31" customFormat="1" ht="12.75">
      <c r="A218" s="217" t="s">
        <v>336</v>
      </c>
      <c r="B218" s="266" t="s">
        <v>810</v>
      </c>
      <c r="C218" s="189"/>
      <c r="D218" s="190"/>
      <c r="E218" s="267">
        <v>140</v>
      </c>
      <c r="F218" s="341">
        <v>7.36</v>
      </c>
      <c r="G218" s="53"/>
      <c r="H218" s="57">
        <v>0</v>
      </c>
      <c r="I218" s="139">
        <f t="shared" si="10"/>
        <v>0</v>
      </c>
    </row>
    <row r="219" spans="1:9" s="31" customFormat="1" ht="12.75">
      <c r="A219" s="217" t="s">
        <v>337</v>
      </c>
      <c r="B219" s="266" t="s">
        <v>37</v>
      </c>
      <c r="C219" s="189"/>
      <c r="D219" s="190"/>
      <c r="E219" s="267">
        <v>140</v>
      </c>
      <c r="F219" s="341">
        <v>11.34</v>
      </c>
      <c r="G219" s="53"/>
      <c r="H219" s="57">
        <v>0</v>
      </c>
      <c r="I219" s="139">
        <f t="shared" si="10"/>
        <v>0</v>
      </c>
    </row>
    <row r="220" spans="1:9" s="31" customFormat="1" ht="12.75">
      <c r="A220" s="217" t="s">
        <v>338</v>
      </c>
      <c r="B220" s="266" t="s">
        <v>815</v>
      </c>
      <c r="C220" s="189"/>
      <c r="D220" s="190"/>
      <c r="E220" s="267">
        <v>90</v>
      </c>
      <c r="F220" s="341">
        <v>22.7</v>
      </c>
      <c r="G220" s="53"/>
      <c r="H220" s="57">
        <v>0</v>
      </c>
      <c r="I220" s="139">
        <f t="shared" si="10"/>
        <v>0</v>
      </c>
    </row>
    <row r="221" spans="1:9" s="31" customFormat="1" ht="12.75">
      <c r="A221" s="358" t="s">
        <v>339</v>
      </c>
      <c r="B221" s="357" t="s">
        <v>818</v>
      </c>
      <c r="C221" s="359"/>
      <c r="D221" s="360"/>
      <c r="E221" s="364">
        <v>140</v>
      </c>
      <c r="F221" s="362">
        <v>11.34</v>
      </c>
      <c r="G221" s="53"/>
      <c r="H221" s="57">
        <v>0</v>
      </c>
      <c r="I221" s="139">
        <f t="shared" si="10"/>
        <v>0</v>
      </c>
    </row>
    <row r="222" spans="1:9" s="31" customFormat="1" ht="12.75">
      <c r="A222" s="358" t="s">
        <v>340</v>
      </c>
      <c r="B222" s="357" t="s">
        <v>38</v>
      </c>
      <c r="C222" s="359"/>
      <c r="D222" s="360"/>
      <c r="E222" s="364">
        <v>140</v>
      </c>
      <c r="F222" s="362">
        <v>17.02</v>
      </c>
      <c r="G222" s="53"/>
      <c r="H222" s="57">
        <v>0</v>
      </c>
      <c r="I222" s="139">
        <f t="shared" si="10"/>
        <v>0</v>
      </c>
    </row>
    <row r="223" spans="1:9" s="31" customFormat="1" ht="12.75">
      <c r="A223" s="358" t="s">
        <v>341</v>
      </c>
      <c r="B223" s="357" t="s">
        <v>823</v>
      </c>
      <c r="C223" s="359"/>
      <c r="D223" s="360"/>
      <c r="E223" s="364">
        <v>90</v>
      </c>
      <c r="F223" s="362">
        <v>34.06</v>
      </c>
      <c r="G223" s="53"/>
      <c r="H223" s="57">
        <v>0</v>
      </c>
      <c r="I223" s="139">
        <f t="shared" si="10"/>
        <v>0</v>
      </c>
    </row>
    <row r="224" spans="1:9" s="31" customFormat="1" ht="12.75">
      <c r="A224" s="217" t="s">
        <v>342</v>
      </c>
      <c r="B224" s="266" t="s">
        <v>826</v>
      </c>
      <c r="C224" s="189"/>
      <c r="D224" s="190"/>
      <c r="E224" s="267">
        <v>140</v>
      </c>
      <c r="F224" s="341">
        <v>3.95</v>
      </c>
      <c r="G224" s="53"/>
      <c r="H224" s="57">
        <v>0</v>
      </c>
      <c r="I224" s="139">
        <f t="shared" si="10"/>
        <v>0</v>
      </c>
    </row>
    <row r="225" spans="1:9" s="31" customFormat="1" ht="12.75">
      <c r="A225" s="217" t="s">
        <v>343</v>
      </c>
      <c r="B225" s="266" t="s">
        <v>39</v>
      </c>
      <c r="C225" s="189"/>
      <c r="D225" s="190"/>
      <c r="E225" s="267">
        <v>140</v>
      </c>
      <c r="F225" s="341">
        <v>5.09</v>
      </c>
      <c r="G225" s="53"/>
      <c r="H225" s="57">
        <v>0</v>
      </c>
      <c r="I225" s="139">
        <f t="shared" si="10"/>
        <v>0</v>
      </c>
    </row>
    <row r="226" spans="1:9" s="31" customFormat="1" ht="12.75">
      <c r="A226" s="217" t="s">
        <v>344</v>
      </c>
      <c r="B226" s="266" t="s">
        <v>831</v>
      </c>
      <c r="C226" s="189"/>
      <c r="D226" s="190"/>
      <c r="E226" s="267">
        <v>90</v>
      </c>
      <c r="F226" s="341">
        <v>11.34</v>
      </c>
      <c r="G226" s="53"/>
      <c r="H226" s="57">
        <v>0</v>
      </c>
      <c r="I226" s="139">
        <f t="shared" si="10"/>
        <v>0</v>
      </c>
    </row>
    <row r="227" spans="1:9" s="31" customFormat="1" ht="12.75">
      <c r="A227" s="358" t="s">
        <v>345</v>
      </c>
      <c r="B227" s="357" t="s">
        <v>833</v>
      </c>
      <c r="C227" s="359"/>
      <c r="D227" s="360"/>
      <c r="E227" s="364">
        <v>140</v>
      </c>
      <c r="F227" s="362">
        <v>5.65</v>
      </c>
      <c r="G227" s="53"/>
      <c r="H227" s="57">
        <v>0</v>
      </c>
      <c r="I227" s="139">
        <f t="shared" si="10"/>
        <v>0</v>
      </c>
    </row>
    <row r="228" spans="1:9" s="31" customFormat="1" ht="12.75">
      <c r="A228" s="358" t="s">
        <v>346</v>
      </c>
      <c r="B228" s="357" t="s">
        <v>40</v>
      </c>
      <c r="C228" s="359"/>
      <c r="D228" s="360"/>
      <c r="E228" s="364">
        <v>140</v>
      </c>
      <c r="F228" s="362">
        <v>8.49</v>
      </c>
      <c r="G228" s="53"/>
      <c r="H228" s="57">
        <v>0</v>
      </c>
      <c r="I228" s="139">
        <f t="shared" si="10"/>
        <v>0</v>
      </c>
    </row>
    <row r="229" spans="1:9" s="31" customFormat="1" ht="12.75">
      <c r="A229" s="358" t="s">
        <v>347</v>
      </c>
      <c r="B229" s="357" t="s">
        <v>838</v>
      </c>
      <c r="C229" s="359"/>
      <c r="D229" s="360"/>
      <c r="E229" s="364">
        <v>90</v>
      </c>
      <c r="F229" s="362">
        <v>17.02</v>
      </c>
      <c r="G229" s="53"/>
      <c r="H229" s="57">
        <v>0</v>
      </c>
      <c r="I229" s="139">
        <f t="shared" ref="I229:I260" si="11">F229*(1-G229)*H229</f>
        <v>0</v>
      </c>
    </row>
    <row r="230" spans="1:9" s="31" customFormat="1" ht="12.75">
      <c r="A230" s="217" t="s">
        <v>348</v>
      </c>
      <c r="B230" s="266" t="s">
        <v>841</v>
      </c>
      <c r="C230" s="189"/>
      <c r="D230" s="190"/>
      <c r="E230" s="267">
        <v>140</v>
      </c>
      <c r="F230" s="341">
        <v>8.49</v>
      </c>
      <c r="G230" s="53"/>
      <c r="H230" s="57">
        <v>0</v>
      </c>
      <c r="I230" s="139">
        <f t="shared" si="11"/>
        <v>0</v>
      </c>
    </row>
    <row r="231" spans="1:9" s="31" customFormat="1" ht="12.75">
      <c r="A231" s="217" t="s">
        <v>349</v>
      </c>
      <c r="B231" s="266" t="s">
        <v>41</v>
      </c>
      <c r="C231" s="189"/>
      <c r="D231" s="190"/>
      <c r="E231" s="267">
        <v>140</v>
      </c>
      <c r="F231" s="341">
        <v>11.34</v>
      </c>
      <c r="G231" s="53"/>
      <c r="H231" s="57">
        <v>0</v>
      </c>
      <c r="I231" s="139">
        <f t="shared" si="11"/>
        <v>0</v>
      </c>
    </row>
    <row r="232" spans="1:9" s="31" customFormat="1" ht="12.75">
      <c r="A232" s="217" t="s">
        <v>350</v>
      </c>
      <c r="B232" s="266" t="s">
        <v>846</v>
      </c>
      <c r="C232" s="189"/>
      <c r="D232" s="190"/>
      <c r="E232" s="267">
        <v>90</v>
      </c>
      <c r="F232" s="341">
        <v>22.7</v>
      </c>
      <c r="G232" s="53"/>
      <c r="H232" s="57">
        <v>0</v>
      </c>
      <c r="I232" s="139">
        <f t="shared" si="11"/>
        <v>0</v>
      </c>
    </row>
    <row r="233" spans="1:9" s="31" customFormat="1" ht="12.75">
      <c r="A233" s="358" t="s">
        <v>351</v>
      </c>
      <c r="B233" s="357" t="s">
        <v>849</v>
      </c>
      <c r="C233" s="359"/>
      <c r="D233" s="360"/>
      <c r="E233" s="364">
        <v>140</v>
      </c>
      <c r="F233" s="362">
        <v>5.65</v>
      </c>
      <c r="G233" s="53"/>
      <c r="H233" s="57">
        <v>0</v>
      </c>
      <c r="I233" s="139">
        <f t="shared" si="11"/>
        <v>0</v>
      </c>
    </row>
    <row r="234" spans="1:9" s="31" customFormat="1" ht="12.75">
      <c r="A234" s="358" t="s">
        <v>352</v>
      </c>
      <c r="B234" s="357" t="s">
        <v>42</v>
      </c>
      <c r="C234" s="359"/>
      <c r="D234" s="360"/>
      <c r="E234" s="364">
        <v>140</v>
      </c>
      <c r="F234" s="362">
        <v>8.49</v>
      </c>
      <c r="G234" s="53"/>
      <c r="H234" s="57">
        <v>0</v>
      </c>
      <c r="I234" s="139">
        <f t="shared" si="11"/>
        <v>0</v>
      </c>
    </row>
    <row r="235" spans="1:9" s="31" customFormat="1" ht="12.75">
      <c r="A235" s="358" t="s">
        <v>353</v>
      </c>
      <c r="B235" s="357" t="s">
        <v>854</v>
      </c>
      <c r="C235" s="359"/>
      <c r="D235" s="360"/>
      <c r="E235" s="364">
        <v>90</v>
      </c>
      <c r="F235" s="362">
        <v>17.02</v>
      </c>
      <c r="G235" s="53"/>
      <c r="H235" s="57">
        <v>0</v>
      </c>
      <c r="I235" s="139">
        <f t="shared" si="11"/>
        <v>0</v>
      </c>
    </row>
    <row r="236" spans="1:9" s="31" customFormat="1" ht="12.75">
      <c r="A236" s="217" t="s">
        <v>354</v>
      </c>
      <c r="B236" s="266" t="s">
        <v>355</v>
      </c>
      <c r="C236" s="189"/>
      <c r="D236" s="190"/>
      <c r="E236" s="267">
        <v>140</v>
      </c>
      <c r="F236" s="341">
        <v>7.36</v>
      </c>
      <c r="G236" s="53"/>
      <c r="H236" s="57">
        <v>0</v>
      </c>
      <c r="I236" s="139">
        <f t="shared" si="11"/>
        <v>0</v>
      </c>
    </row>
    <row r="237" spans="1:9" s="31" customFormat="1" ht="12.75">
      <c r="A237" s="217" t="s">
        <v>356</v>
      </c>
      <c r="B237" s="266" t="s">
        <v>43</v>
      </c>
      <c r="C237" s="189"/>
      <c r="D237" s="190"/>
      <c r="E237" s="267">
        <v>140</v>
      </c>
      <c r="F237" s="341">
        <v>11.34</v>
      </c>
      <c r="G237" s="53"/>
      <c r="H237" s="57">
        <v>0</v>
      </c>
      <c r="I237" s="139">
        <f t="shared" si="11"/>
        <v>0</v>
      </c>
    </row>
    <row r="238" spans="1:9" s="31" customFormat="1" ht="12.75">
      <c r="A238" s="217" t="s">
        <v>357</v>
      </c>
      <c r="B238" s="266" t="s">
        <v>861</v>
      </c>
      <c r="C238" s="189"/>
      <c r="D238" s="190"/>
      <c r="E238" s="267">
        <v>90</v>
      </c>
      <c r="F238" s="341">
        <v>22.7</v>
      </c>
      <c r="G238" s="53"/>
      <c r="H238" s="57">
        <v>0</v>
      </c>
      <c r="I238" s="139">
        <f t="shared" si="11"/>
        <v>0</v>
      </c>
    </row>
    <row r="239" spans="1:9" s="31" customFormat="1" ht="12.75">
      <c r="A239" s="358" t="s">
        <v>1345</v>
      </c>
      <c r="B239" s="357" t="s">
        <v>1346</v>
      </c>
      <c r="C239" s="359"/>
      <c r="D239" s="360"/>
      <c r="E239" s="364">
        <v>140</v>
      </c>
      <c r="F239" s="362">
        <v>8.49</v>
      </c>
      <c r="G239" s="53"/>
      <c r="H239" s="57">
        <v>0</v>
      </c>
      <c r="I239" s="139">
        <f t="shared" si="11"/>
        <v>0</v>
      </c>
    </row>
    <row r="240" spans="1:9" s="31" customFormat="1" ht="12.75">
      <c r="A240" s="358" t="s">
        <v>1348</v>
      </c>
      <c r="B240" s="357" t="s">
        <v>1349</v>
      </c>
      <c r="C240" s="359"/>
      <c r="D240" s="360"/>
      <c r="E240" s="364">
        <v>140</v>
      </c>
      <c r="F240" s="362">
        <v>14.18</v>
      </c>
      <c r="G240" s="53"/>
      <c r="H240" s="57">
        <v>0</v>
      </c>
      <c r="I240" s="139">
        <f t="shared" si="11"/>
        <v>0</v>
      </c>
    </row>
    <row r="241" spans="1:9" s="31" customFormat="1" ht="12.75">
      <c r="A241" s="217" t="s">
        <v>358</v>
      </c>
      <c r="B241" s="266" t="s">
        <v>864</v>
      </c>
      <c r="C241" s="189"/>
      <c r="D241" s="190"/>
      <c r="E241" s="267">
        <v>140</v>
      </c>
      <c r="F241" s="341">
        <v>10.199999999999999</v>
      </c>
      <c r="G241" s="53"/>
      <c r="H241" s="57">
        <v>0</v>
      </c>
      <c r="I241" s="139">
        <f t="shared" si="11"/>
        <v>0</v>
      </c>
    </row>
    <row r="242" spans="1:9" s="31" customFormat="1" ht="12.75">
      <c r="A242" s="217" t="s">
        <v>359</v>
      </c>
      <c r="B242" s="266" t="s">
        <v>44</v>
      </c>
      <c r="C242" s="189"/>
      <c r="D242" s="190"/>
      <c r="E242" s="267">
        <v>140</v>
      </c>
      <c r="F242" s="341">
        <v>17.02</v>
      </c>
      <c r="G242" s="53"/>
      <c r="H242" s="57">
        <v>0</v>
      </c>
      <c r="I242" s="139">
        <f t="shared" si="11"/>
        <v>0</v>
      </c>
    </row>
    <row r="243" spans="1:9" s="31" customFormat="1" ht="12.75">
      <c r="A243" s="217" t="s">
        <v>360</v>
      </c>
      <c r="B243" s="266" t="s">
        <v>869</v>
      </c>
      <c r="C243" s="189"/>
      <c r="D243" s="190"/>
      <c r="E243" s="267">
        <v>90</v>
      </c>
      <c r="F243" s="341">
        <v>34.06</v>
      </c>
      <c r="G243" s="53"/>
      <c r="H243" s="57">
        <v>0</v>
      </c>
      <c r="I243" s="139">
        <f t="shared" si="11"/>
        <v>0</v>
      </c>
    </row>
    <row r="244" spans="1:9" s="31" customFormat="1" ht="12.75">
      <c r="A244" s="358" t="s">
        <v>361</v>
      </c>
      <c r="B244" s="357" t="s">
        <v>362</v>
      </c>
      <c r="C244" s="359"/>
      <c r="D244" s="360"/>
      <c r="E244" s="364">
        <v>140</v>
      </c>
      <c r="F244" s="362">
        <v>11.34</v>
      </c>
      <c r="G244" s="53"/>
      <c r="H244" s="57">
        <v>0</v>
      </c>
      <c r="I244" s="139">
        <f t="shared" si="11"/>
        <v>0</v>
      </c>
    </row>
    <row r="245" spans="1:9" s="31" customFormat="1" ht="12.75">
      <c r="A245" s="358" t="s">
        <v>363</v>
      </c>
      <c r="B245" s="357" t="s">
        <v>45</v>
      </c>
      <c r="C245" s="359"/>
      <c r="D245" s="360"/>
      <c r="E245" s="364">
        <v>140</v>
      </c>
      <c r="F245" s="362">
        <v>17.02</v>
      </c>
      <c r="G245" s="53"/>
      <c r="H245" s="57">
        <v>0</v>
      </c>
      <c r="I245" s="139">
        <f t="shared" si="11"/>
        <v>0</v>
      </c>
    </row>
    <row r="246" spans="1:9" s="31" customFormat="1" ht="12.75">
      <c r="A246" s="358" t="s">
        <v>364</v>
      </c>
      <c r="B246" s="357" t="s">
        <v>365</v>
      </c>
      <c r="C246" s="359"/>
      <c r="D246" s="360"/>
      <c r="E246" s="364">
        <v>90</v>
      </c>
      <c r="F246" s="362">
        <v>34.06</v>
      </c>
      <c r="G246" s="53"/>
      <c r="H246" s="57">
        <v>0</v>
      </c>
      <c r="I246" s="139">
        <f t="shared" si="11"/>
        <v>0</v>
      </c>
    </row>
    <row r="247" spans="1:9" s="31" customFormat="1" ht="12.75">
      <c r="A247" s="217" t="s">
        <v>366</v>
      </c>
      <c r="B247" s="266" t="s">
        <v>877</v>
      </c>
      <c r="C247" s="189"/>
      <c r="D247" s="190"/>
      <c r="E247" s="267">
        <v>140</v>
      </c>
      <c r="F247" s="341">
        <v>11.34</v>
      </c>
      <c r="G247" s="53"/>
      <c r="H247" s="57">
        <v>0</v>
      </c>
      <c r="I247" s="139">
        <f t="shared" si="11"/>
        <v>0</v>
      </c>
    </row>
    <row r="248" spans="1:9" s="31" customFormat="1" ht="12.75">
      <c r="A248" s="217" t="s">
        <v>367</v>
      </c>
      <c r="B248" s="266" t="s">
        <v>46</v>
      </c>
      <c r="C248" s="189"/>
      <c r="D248" s="190"/>
      <c r="E248" s="267">
        <v>140</v>
      </c>
      <c r="F248" s="341">
        <v>17.02</v>
      </c>
      <c r="G248" s="53"/>
      <c r="H248" s="57">
        <v>0</v>
      </c>
      <c r="I248" s="139">
        <f t="shared" si="11"/>
        <v>0</v>
      </c>
    </row>
    <row r="249" spans="1:9" s="31" customFormat="1" ht="12.75">
      <c r="A249" s="217" t="s">
        <v>368</v>
      </c>
      <c r="B249" s="266" t="s">
        <v>882</v>
      </c>
      <c r="C249" s="189"/>
      <c r="D249" s="190"/>
      <c r="E249" s="267">
        <v>90</v>
      </c>
      <c r="F249" s="341">
        <v>34.06</v>
      </c>
      <c r="G249" s="53"/>
      <c r="H249" s="57">
        <v>0</v>
      </c>
      <c r="I249" s="139">
        <f t="shared" si="11"/>
        <v>0</v>
      </c>
    </row>
    <row r="250" spans="1:9" s="31" customFormat="1" ht="12.75">
      <c r="A250" s="358" t="s">
        <v>369</v>
      </c>
      <c r="B250" s="357" t="s">
        <v>47</v>
      </c>
      <c r="C250" s="359"/>
      <c r="D250" s="360"/>
      <c r="E250" s="364">
        <v>140</v>
      </c>
      <c r="F250" s="362">
        <v>90.88</v>
      </c>
      <c r="G250" s="53"/>
      <c r="H250" s="57">
        <v>0</v>
      </c>
      <c r="I250" s="139">
        <f t="shared" si="11"/>
        <v>0</v>
      </c>
    </row>
    <row r="251" spans="1:9" s="31" customFormat="1" ht="12.75">
      <c r="A251" s="358" t="s">
        <v>370</v>
      </c>
      <c r="B251" s="357" t="s">
        <v>887</v>
      </c>
      <c r="C251" s="359"/>
      <c r="D251" s="360"/>
      <c r="E251" s="364">
        <v>140</v>
      </c>
      <c r="F251" s="362">
        <v>227.24</v>
      </c>
      <c r="G251" s="53"/>
      <c r="H251" s="57">
        <v>0</v>
      </c>
      <c r="I251" s="139">
        <f t="shared" si="11"/>
        <v>0</v>
      </c>
    </row>
    <row r="252" spans="1:9" s="31" customFormat="1" ht="12.75">
      <c r="A252" s="358" t="s">
        <v>371</v>
      </c>
      <c r="B252" s="357" t="s">
        <v>48</v>
      </c>
      <c r="C252" s="359"/>
      <c r="D252" s="360"/>
      <c r="E252" s="364">
        <v>140</v>
      </c>
      <c r="F252" s="362">
        <v>357.93</v>
      </c>
      <c r="G252" s="53"/>
      <c r="H252" s="57">
        <v>0</v>
      </c>
      <c r="I252" s="139">
        <f t="shared" si="11"/>
        <v>0</v>
      </c>
    </row>
    <row r="253" spans="1:9" s="31" customFormat="1" ht="12.75">
      <c r="A253" s="358" t="s">
        <v>372</v>
      </c>
      <c r="B253" s="357" t="s">
        <v>892</v>
      </c>
      <c r="C253" s="359"/>
      <c r="D253" s="360"/>
      <c r="E253" s="364">
        <v>90</v>
      </c>
      <c r="F253" s="362">
        <v>852.24</v>
      </c>
      <c r="G253" s="53"/>
      <c r="H253" s="57">
        <v>0</v>
      </c>
      <c r="I253" s="139">
        <f t="shared" si="11"/>
        <v>0</v>
      </c>
    </row>
    <row r="254" spans="1:9" s="31" customFormat="1" ht="12.75">
      <c r="A254" s="217" t="s">
        <v>373</v>
      </c>
      <c r="B254" s="266" t="s">
        <v>895</v>
      </c>
      <c r="C254" s="189"/>
      <c r="D254" s="190"/>
      <c r="E254" s="267">
        <v>140</v>
      </c>
      <c r="F254" s="341">
        <v>5.09</v>
      </c>
      <c r="G254" s="53"/>
      <c r="H254" s="57">
        <v>0</v>
      </c>
      <c r="I254" s="139">
        <f t="shared" si="11"/>
        <v>0</v>
      </c>
    </row>
    <row r="255" spans="1:9" s="31" customFormat="1" ht="12.75">
      <c r="A255" s="217" t="s">
        <v>374</v>
      </c>
      <c r="B255" s="266" t="s">
        <v>49</v>
      </c>
      <c r="C255" s="189"/>
      <c r="D255" s="190"/>
      <c r="E255" s="267">
        <v>140</v>
      </c>
      <c r="F255" s="341">
        <v>6.79</v>
      </c>
      <c r="G255" s="53"/>
      <c r="H255" s="57">
        <v>0</v>
      </c>
      <c r="I255" s="139">
        <f t="shared" si="11"/>
        <v>0</v>
      </c>
    </row>
    <row r="256" spans="1:9" s="31" customFormat="1" ht="12.75">
      <c r="A256" s="217" t="s">
        <v>375</v>
      </c>
      <c r="B256" s="266" t="s">
        <v>899</v>
      </c>
      <c r="C256" s="189"/>
      <c r="D256" s="190"/>
      <c r="E256" s="267">
        <v>90</v>
      </c>
      <c r="F256" s="341">
        <v>14.18</v>
      </c>
      <c r="G256" s="53"/>
      <c r="H256" s="57">
        <v>0</v>
      </c>
      <c r="I256" s="139">
        <f t="shared" si="11"/>
        <v>0</v>
      </c>
    </row>
    <row r="257" spans="1:9" s="31" customFormat="1" ht="12.75">
      <c r="A257" s="358" t="s">
        <v>376</v>
      </c>
      <c r="B257" s="357" t="s">
        <v>902</v>
      </c>
      <c r="C257" s="359"/>
      <c r="D257" s="360"/>
      <c r="E257" s="364">
        <v>140</v>
      </c>
      <c r="F257" s="362">
        <v>9.6300000000000008</v>
      </c>
      <c r="G257" s="53"/>
      <c r="H257" s="57">
        <v>0</v>
      </c>
      <c r="I257" s="139">
        <f t="shared" si="11"/>
        <v>0</v>
      </c>
    </row>
    <row r="258" spans="1:9" s="31" customFormat="1" ht="12.75">
      <c r="A258" s="358" t="s">
        <v>377</v>
      </c>
      <c r="B258" s="357" t="s">
        <v>50</v>
      </c>
      <c r="C258" s="359"/>
      <c r="D258" s="360"/>
      <c r="E258" s="364">
        <v>140</v>
      </c>
      <c r="F258" s="362">
        <v>17.02</v>
      </c>
      <c r="G258" s="53"/>
      <c r="H258" s="57">
        <v>0</v>
      </c>
      <c r="I258" s="139">
        <f t="shared" si="11"/>
        <v>0</v>
      </c>
    </row>
    <row r="259" spans="1:9" s="31" customFormat="1" ht="12.75">
      <c r="A259" s="358" t="s">
        <v>378</v>
      </c>
      <c r="B259" s="357" t="s">
        <v>906</v>
      </c>
      <c r="C259" s="359"/>
      <c r="D259" s="360"/>
      <c r="E259" s="364">
        <v>90</v>
      </c>
      <c r="F259" s="362">
        <v>34.06</v>
      </c>
      <c r="G259" s="53"/>
      <c r="H259" s="57">
        <v>0</v>
      </c>
      <c r="I259" s="139">
        <f t="shared" si="11"/>
        <v>0</v>
      </c>
    </row>
    <row r="260" spans="1:9" s="31" customFormat="1" ht="12.75">
      <c r="A260" s="217" t="s">
        <v>379</v>
      </c>
      <c r="B260" s="266" t="s">
        <v>51</v>
      </c>
      <c r="C260" s="189"/>
      <c r="D260" s="190"/>
      <c r="E260" s="267">
        <v>140</v>
      </c>
      <c r="F260" s="341">
        <v>19.86</v>
      </c>
      <c r="G260" s="53"/>
      <c r="H260" s="57">
        <v>0</v>
      </c>
      <c r="I260" s="139">
        <f t="shared" si="11"/>
        <v>0</v>
      </c>
    </row>
    <row r="261" spans="1:9" s="31" customFormat="1" ht="12.75">
      <c r="A261" s="217" t="s">
        <v>380</v>
      </c>
      <c r="B261" s="266" t="s">
        <v>911</v>
      </c>
      <c r="C261" s="189"/>
      <c r="D261" s="190"/>
      <c r="E261" s="267">
        <v>140</v>
      </c>
      <c r="F261" s="341">
        <v>49.97</v>
      </c>
      <c r="G261" s="53"/>
      <c r="H261" s="57">
        <v>0</v>
      </c>
      <c r="I261" s="139">
        <f t="shared" ref="I261:I271" si="12">F261*(1-G261)*H261</f>
        <v>0</v>
      </c>
    </row>
    <row r="262" spans="1:9" s="31" customFormat="1" ht="12.75">
      <c r="A262" s="217" t="s">
        <v>381</v>
      </c>
      <c r="B262" s="266" t="s">
        <v>52</v>
      </c>
      <c r="C262" s="189"/>
      <c r="D262" s="190"/>
      <c r="E262" s="267">
        <v>140</v>
      </c>
      <c r="F262" s="341">
        <v>68.75</v>
      </c>
      <c r="G262" s="53"/>
      <c r="H262" s="57">
        <v>0</v>
      </c>
      <c r="I262" s="139">
        <f t="shared" si="12"/>
        <v>0</v>
      </c>
    </row>
    <row r="263" spans="1:9" s="31" customFormat="1" ht="12.75">
      <c r="A263" s="217" t="s">
        <v>382</v>
      </c>
      <c r="B263" s="266" t="s">
        <v>916</v>
      </c>
      <c r="C263" s="189"/>
      <c r="D263" s="190"/>
      <c r="E263" s="267">
        <v>90</v>
      </c>
      <c r="F263" s="341">
        <v>137.47</v>
      </c>
      <c r="G263" s="53"/>
      <c r="H263" s="57">
        <v>0</v>
      </c>
      <c r="I263" s="139">
        <f t="shared" si="12"/>
        <v>0</v>
      </c>
    </row>
    <row r="264" spans="1:9" s="31" customFormat="1" ht="12.75">
      <c r="A264" s="358" t="s">
        <v>383</v>
      </c>
      <c r="B264" s="357" t="s">
        <v>919</v>
      </c>
      <c r="C264" s="359"/>
      <c r="D264" s="360"/>
      <c r="E264" s="364">
        <v>140</v>
      </c>
      <c r="F264" s="362">
        <v>8.49</v>
      </c>
      <c r="G264" s="53"/>
      <c r="H264" s="57">
        <v>0</v>
      </c>
      <c r="I264" s="139">
        <f t="shared" si="12"/>
        <v>0</v>
      </c>
    </row>
    <row r="265" spans="1:9" s="31" customFormat="1" ht="12.75">
      <c r="A265" s="358" t="s">
        <v>384</v>
      </c>
      <c r="B265" s="357" t="s">
        <v>53</v>
      </c>
      <c r="C265" s="359"/>
      <c r="D265" s="360"/>
      <c r="E265" s="364">
        <v>140</v>
      </c>
      <c r="F265" s="362">
        <v>14.18</v>
      </c>
      <c r="G265" s="53"/>
      <c r="H265" s="57">
        <v>0</v>
      </c>
      <c r="I265" s="139">
        <f t="shared" si="12"/>
        <v>0</v>
      </c>
    </row>
    <row r="266" spans="1:9" s="31" customFormat="1" ht="12.75">
      <c r="A266" s="358" t="s">
        <v>385</v>
      </c>
      <c r="B266" s="357" t="s">
        <v>924</v>
      </c>
      <c r="C266" s="359"/>
      <c r="D266" s="360"/>
      <c r="E266" s="364">
        <v>90</v>
      </c>
      <c r="F266" s="362">
        <v>28.38</v>
      </c>
      <c r="G266" s="53"/>
      <c r="H266" s="57">
        <v>0</v>
      </c>
      <c r="I266" s="139">
        <f t="shared" si="12"/>
        <v>0</v>
      </c>
    </row>
    <row r="267" spans="1:9" s="31" customFormat="1" ht="12.75">
      <c r="A267" s="217" t="s">
        <v>1351</v>
      </c>
      <c r="B267" s="266" t="s">
        <v>1352</v>
      </c>
      <c r="C267" s="189"/>
      <c r="D267" s="190"/>
      <c r="E267" s="267">
        <v>140</v>
      </c>
      <c r="F267" s="341">
        <v>22.7</v>
      </c>
      <c r="G267" s="53"/>
      <c r="H267" s="57">
        <v>0</v>
      </c>
      <c r="I267" s="139">
        <f t="shared" si="12"/>
        <v>0</v>
      </c>
    </row>
    <row r="268" spans="1:9" s="31" customFormat="1" ht="12.75">
      <c r="A268" s="217" t="s">
        <v>1354</v>
      </c>
      <c r="B268" s="266" t="s">
        <v>1355</v>
      </c>
      <c r="C268" s="189"/>
      <c r="D268" s="190"/>
      <c r="E268" s="267">
        <v>140</v>
      </c>
      <c r="F268" s="341">
        <v>39.74</v>
      </c>
      <c r="G268" s="53"/>
      <c r="H268" s="57">
        <v>0</v>
      </c>
      <c r="I268" s="139">
        <f t="shared" si="12"/>
        <v>0</v>
      </c>
    </row>
    <row r="269" spans="1:9" s="31" customFormat="1" ht="12.75">
      <c r="A269" s="217" t="s">
        <v>1357</v>
      </c>
      <c r="B269" s="266" t="s">
        <v>1358</v>
      </c>
      <c r="C269" s="189"/>
      <c r="D269" s="190"/>
      <c r="E269" s="267">
        <v>140</v>
      </c>
      <c r="F269" s="341">
        <v>68.150000000000006</v>
      </c>
      <c r="G269" s="53"/>
      <c r="H269" s="57">
        <v>0</v>
      </c>
      <c r="I269" s="139">
        <f t="shared" si="12"/>
        <v>0</v>
      </c>
    </row>
    <row r="270" spans="1:9" s="31" customFormat="1" ht="12.75">
      <c r="A270" s="358" t="s">
        <v>386</v>
      </c>
      <c r="B270" s="357" t="s">
        <v>927</v>
      </c>
      <c r="C270" s="359"/>
      <c r="D270" s="360"/>
      <c r="E270" s="364">
        <v>140</v>
      </c>
      <c r="F270" s="362">
        <v>4.5199999999999996</v>
      </c>
      <c r="G270" s="53"/>
      <c r="H270" s="57">
        <v>0</v>
      </c>
      <c r="I270" s="139">
        <f t="shared" si="12"/>
        <v>0</v>
      </c>
    </row>
    <row r="271" spans="1:9" s="31" customFormat="1" ht="12.75">
      <c r="A271" s="358" t="s">
        <v>387</v>
      </c>
      <c r="B271" s="357" t="s">
        <v>54</v>
      </c>
      <c r="C271" s="359"/>
      <c r="D271" s="360"/>
      <c r="E271" s="364">
        <v>140</v>
      </c>
      <c r="F271" s="362">
        <v>5.65</v>
      </c>
      <c r="G271" s="53"/>
      <c r="H271" s="57">
        <v>0</v>
      </c>
      <c r="I271" s="139">
        <f t="shared" si="12"/>
        <v>0</v>
      </c>
    </row>
    <row r="272" spans="1:9" s="31" customFormat="1" ht="12.75">
      <c r="A272" s="358" t="s">
        <v>388</v>
      </c>
      <c r="B272" s="357" t="s">
        <v>931</v>
      </c>
      <c r="C272" s="359"/>
      <c r="D272" s="360"/>
      <c r="E272" s="364">
        <v>90</v>
      </c>
      <c r="F272" s="362">
        <v>13.04</v>
      </c>
      <c r="G272" s="53"/>
      <c r="H272" s="57">
        <v>0</v>
      </c>
      <c r="I272" s="139">
        <f t="shared" ref="I272:I293" si="13">F272*(1-G272)*H272</f>
        <v>0</v>
      </c>
    </row>
    <row r="273" spans="1:9">
      <c r="A273" s="217" t="s">
        <v>389</v>
      </c>
      <c r="B273" s="266" t="s">
        <v>390</v>
      </c>
      <c r="C273" s="189"/>
      <c r="D273" s="190"/>
      <c r="E273" s="267">
        <v>140</v>
      </c>
      <c r="F273" s="341">
        <v>14.18</v>
      </c>
      <c r="G273" s="53"/>
      <c r="H273" s="57">
        <v>0</v>
      </c>
      <c r="I273" s="139">
        <f t="shared" si="13"/>
        <v>0</v>
      </c>
    </row>
    <row r="274" spans="1:9" s="31" customFormat="1" ht="12.75">
      <c r="A274" s="217" t="s">
        <v>391</v>
      </c>
      <c r="B274" s="266" t="s">
        <v>55</v>
      </c>
      <c r="C274" s="189"/>
      <c r="D274" s="190"/>
      <c r="E274" s="267">
        <v>140</v>
      </c>
      <c r="F274" s="341">
        <v>22.7</v>
      </c>
      <c r="G274" s="53"/>
      <c r="H274" s="57">
        <v>0</v>
      </c>
      <c r="I274" s="139">
        <f t="shared" si="13"/>
        <v>0</v>
      </c>
    </row>
    <row r="275" spans="1:9" s="31" customFormat="1" ht="12.75">
      <c r="A275" s="217" t="s">
        <v>392</v>
      </c>
      <c r="B275" s="266" t="s">
        <v>937</v>
      </c>
      <c r="C275" s="189"/>
      <c r="D275" s="190"/>
      <c r="E275" s="267">
        <v>90</v>
      </c>
      <c r="F275" s="341">
        <v>45.43</v>
      </c>
      <c r="G275" s="53"/>
      <c r="H275" s="57">
        <v>0</v>
      </c>
      <c r="I275" s="139">
        <f t="shared" si="13"/>
        <v>0</v>
      </c>
    </row>
    <row r="276" spans="1:9" s="31" customFormat="1" ht="12.75">
      <c r="A276" s="358" t="s">
        <v>1360</v>
      </c>
      <c r="B276" s="357" t="s">
        <v>1361</v>
      </c>
      <c r="C276" s="359"/>
      <c r="D276" s="360"/>
      <c r="E276" s="364">
        <v>140</v>
      </c>
      <c r="F276" s="362">
        <v>10.64</v>
      </c>
      <c r="G276" s="53"/>
      <c r="H276" s="57">
        <v>0</v>
      </c>
      <c r="I276" s="139">
        <f t="shared" si="13"/>
        <v>0</v>
      </c>
    </row>
    <row r="277" spans="1:9" s="31" customFormat="1" ht="12.75">
      <c r="A277" s="358" t="s">
        <v>1363</v>
      </c>
      <c r="B277" s="357" t="s">
        <v>1364</v>
      </c>
      <c r="C277" s="359"/>
      <c r="D277" s="360"/>
      <c r="E277" s="364">
        <v>140</v>
      </c>
      <c r="F277" s="362">
        <v>15.64</v>
      </c>
      <c r="G277" s="53"/>
      <c r="H277" s="57">
        <v>0</v>
      </c>
      <c r="I277" s="139">
        <f t="shared" si="13"/>
        <v>0</v>
      </c>
    </row>
    <row r="278" spans="1:9" s="31" customFormat="1" ht="12.75">
      <c r="A278" s="217" t="s">
        <v>393</v>
      </c>
      <c r="B278" s="266" t="s">
        <v>940</v>
      </c>
      <c r="C278" s="189"/>
      <c r="D278" s="190"/>
      <c r="E278" s="267">
        <v>140</v>
      </c>
      <c r="F278" s="341">
        <v>15.31</v>
      </c>
      <c r="G278" s="53"/>
      <c r="H278" s="57">
        <v>0</v>
      </c>
      <c r="I278" s="139">
        <f t="shared" si="13"/>
        <v>0</v>
      </c>
    </row>
    <row r="279" spans="1:9" s="31" customFormat="1" ht="12.75">
      <c r="A279" s="217" t="s">
        <v>394</v>
      </c>
      <c r="B279" s="266" t="s">
        <v>56</v>
      </c>
      <c r="C279" s="189"/>
      <c r="D279" s="190"/>
      <c r="E279" s="267">
        <v>140</v>
      </c>
      <c r="F279" s="341">
        <v>22.7</v>
      </c>
      <c r="G279" s="53"/>
      <c r="H279" s="57">
        <v>0</v>
      </c>
      <c r="I279" s="139">
        <f t="shared" si="13"/>
        <v>0</v>
      </c>
    </row>
    <row r="280" spans="1:9" s="31" customFormat="1" ht="12.75">
      <c r="A280" s="217" t="s">
        <v>395</v>
      </c>
      <c r="B280" s="266" t="s">
        <v>945</v>
      </c>
      <c r="C280" s="189"/>
      <c r="D280" s="190"/>
      <c r="E280" s="267">
        <v>90</v>
      </c>
      <c r="F280" s="341">
        <v>51.11</v>
      </c>
      <c r="G280" s="53"/>
      <c r="H280" s="57">
        <v>0</v>
      </c>
      <c r="I280" s="139">
        <f t="shared" si="13"/>
        <v>0</v>
      </c>
    </row>
    <row r="281" spans="1:9" s="31" customFormat="1" ht="12.75">
      <c r="A281" s="358" t="s">
        <v>396</v>
      </c>
      <c r="B281" s="357" t="s">
        <v>397</v>
      </c>
      <c r="C281" s="359"/>
      <c r="D281" s="360"/>
      <c r="E281" s="364">
        <v>140</v>
      </c>
      <c r="F281" s="362">
        <v>15.31</v>
      </c>
      <c r="G281" s="53"/>
      <c r="H281" s="57">
        <v>0</v>
      </c>
      <c r="I281" s="139">
        <f t="shared" si="13"/>
        <v>0</v>
      </c>
    </row>
    <row r="282" spans="1:9" s="31" customFormat="1" ht="12.75">
      <c r="A282" s="358" t="s">
        <v>398</v>
      </c>
      <c r="B282" s="357" t="s">
        <v>57</v>
      </c>
      <c r="C282" s="359"/>
      <c r="D282" s="360"/>
      <c r="E282" s="364">
        <v>140</v>
      </c>
      <c r="F282" s="362">
        <v>22.7</v>
      </c>
      <c r="G282" s="53"/>
      <c r="H282" s="57">
        <v>0</v>
      </c>
      <c r="I282" s="139">
        <f t="shared" si="13"/>
        <v>0</v>
      </c>
    </row>
    <row r="283" spans="1:9" s="31" customFormat="1" ht="12.75">
      <c r="A283" s="358" t="s">
        <v>399</v>
      </c>
      <c r="B283" s="357" t="s">
        <v>952</v>
      </c>
      <c r="C283" s="359"/>
      <c r="D283" s="360"/>
      <c r="E283" s="364">
        <v>90</v>
      </c>
      <c r="F283" s="362">
        <v>51.11</v>
      </c>
      <c r="G283" s="53"/>
      <c r="H283" s="57">
        <v>0</v>
      </c>
      <c r="I283" s="139">
        <f t="shared" si="13"/>
        <v>0</v>
      </c>
    </row>
    <row r="284" spans="1:9" s="31" customFormat="1" ht="12.75">
      <c r="A284" s="217" t="s">
        <v>400</v>
      </c>
      <c r="B284" s="266" t="s">
        <v>955</v>
      </c>
      <c r="C284" s="189"/>
      <c r="D284" s="190"/>
      <c r="E284" s="267">
        <v>140</v>
      </c>
      <c r="F284" s="341">
        <v>8.49</v>
      </c>
      <c r="G284" s="53"/>
      <c r="H284" s="57">
        <v>0</v>
      </c>
      <c r="I284" s="139">
        <f t="shared" si="13"/>
        <v>0</v>
      </c>
    </row>
    <row r="285" spans="1:9" s="31" customFormat="1" ht="12.75">
      <c r="A285" s="217" t="s">
        <v>401</v>
      </c>
      <c r="B285" s="266" t="s">
        <v>58</v>
      </c>
      <c r="C285" s="189"/>
      <c r="D285" s="190"/>
      <c r="E285" s="267">
        <v>140</v>
      </c>
      <c r="F285" s="341">
        <v>14.18</v>
      </c>
      <c r="G285" s="53"/>
      <c r="H285" s="57">
        <v>0</v>
      </c>
      <c r="I285" s="139">
        <f t="shared" si="13"/>
        <v>0</v>
      </c>
    </row>
    <row r="286" spans="1:9" s="31" customFormat="1" ht="12.75">
      <c r="A286" s="217" t="s">
        <v>402</v>
      </c>
      <c r="B286" s="266" t="s">
        <v>403</v>
      </c>
      <c r="C286" s="189"/>
      <c r="D286" s="190"/>
      <c r="E286" s="267">
        <v>90</v>
      </c>
      <c r="F286" s="341">
        <v>28.38</v>
      </c>
      <c r="G286" s="53"/>
      <c r="H286" s="57">
        <v>0</v>
      </c>
      <c r="I286" s="139">
        <f t="shared" si="13"/>
        <v>0</v>
      </c>
    </row>
    <row r="287" spans="1:9" s="31" customFormat="1" ht="12.75">
      <c r="A287" s="358" t="s">
        <v>404</v>
      </c>
      <c r="B287" s="357" t="s">
        <v>59</v>
      </c>
      <c r="C287" s="359"/>
      <c r="D287" s="360"/>
      <c r="E287" s="364">
        <v>140</v>
      </c>
      <c r="F287" s="362">
        <v>19.86</v>
      </c>
      <c r="G287" s="53"/>
      <c r="H287" s="57">
        <v>0</v>
      </c>
      <c r="I287" s="139">
        <f t="shared" si="13"/>
        <v>0</v>
      </c>
    </row>
    <row r="288" spans="1:9" s="31" customFormat="1" ht="12.75">
      <c r="A288" s="358" t="s">
        <v>405</v>
      </c>
      <c r="B288" s="357" t="s">
        <v>964</v>
      </c>
      <c r="C288" s="359"/>
      <c r="D288" s="360"/>
      <c r="E288" s="364">
        <v>140</v>
      </c>
      <c r="F288" s="362">
        <v>36.9</v>
      </c>
      <c r="G288" s="53"/>
      <c r="H288" s="57">
        <v>0</v>
      </c>
      <c r="I288" s="139">
        <f t="shared" si="13"/>
        <v>0</v>
      </c>
    </row>
    <row r="289" spans="1:9" s="31" customFormat="1" ht="12.75">
      <c r="A289" s="358" t="s">
        <v>406</v>
      </c>
      <c r="B289" s="357" t="s">
        <v>60</v>
      </c>
      <c r="C289" s="359"/>
      <c r="D289" s="360"/>
      <c r="E289" s="364">
        <v>140</v>
      </c>
      <c r="F289" s="362">
        <v>56.79</v>
      </c>
      <c r="G289" s="53"/>
      <c r="H289" s="57">
        <v>0</v>
      </c>
      <c r="I289" s="139">
        <f t="shared" si="13"/>
        <v>0</v>
      </c>
    </row>
    <row r="290" spans="1:9" s="31" customFormat="1" ht="12.75">
      <c r="A290" s="358" t="s">
        <v>407</v>
      </c>
      <c r="B290" s="357" t="s">
        <v>969</v>
      </c>
      <c r="C290" s="359"/>
      <c r="D290" s="360"/>
      <c r="E290" s="364">
        <v>90</v>
      </c>
      <c r="F290" s="362">
        <v>124.97</v>
      </c>
      <c r="G290" s="53"/>
      <c r="H290" s="57">
        <v>0</v>
      </c>
      <c r="I290" s="139">
        <f t="shared" si="13"/>
        <v>0</v>
      </c>
    </row>
    <row r="291" spans="1:9" s="31" customFormat="1" ht="12.75">
      <c r="A291" s="217" t="s">
        <v>408</v>
      </c>
      <c r="B291" s="266" t="s">
        <v>409</v>
      </c>
      <c r="C291" s="189"/>
      <c r="D291" s="190"/>
      <c r="E291" s="267">
        <v>140</v>
      </c>
      <c r="F291" s="341">
        <v>11.34</v>
      </c>
      <c r="G291" s="53"/>
      <c r="H291" s="57">
        <v>0</v>
      </c>
      <c r="I291" s="139">
        <f t="shared" si="13"/>
        <v>0</v>
      </c>
    </row>
    <row r="292" spans="1:9" s="31" customFormat="1" ht="12.75">
      <c r="A292" s="217" t="s">
        <v>410</v>
      </c>
      <c r="B292" s="266" t="s">
        <v>61</v>
      </c>
      <c r="C292" s="189"/>
      <c r="D292" s="190"/>
      <c r="E292" s="267">
        <v>140</v>
      </c>
      <c r="F292" s="341">
        <v>17.02</v>
      </c>
      <c r="G292" s="53"/>
      <c r="H292" s="57">
        <v>0</v>
      </c>
      <c r="I292" s="139">
        <f t="shared" si="13"/>
        <v>0</v>
      </c>
    </row>
    <row r="293" spans="1:9" s="31" customFormat="1" ht="12.75">
      <c r="A293" s="222" t="s">
        <v>411</v>
      </c>
      <c r="B293" s="446" t="s">
        <v>976</v>
      </c>
      <c r="C293" s="447"/>
      <c r="D293" s="448"/>
      <c r="E293" s="449">
        <v>90</v>
      </c>
      <c r="F293" s="450">
        <v>34.06</v>
      </c>
      <c r="G293" s="54"/>
      <c r="H293" s="58">
        <v>0</v>
      </c>
      <c r="I293" s="140">
        <f t="shared" si="13"/>
        <v>0</v>
      </c>
    </row>
    <row r="294" spans="1:9" s="31" customFormat="1" ht="12.75">
      <c r="A294" s="63" t="s">
        <v>412</v>
      </c>
      <c r="B294" s="444"/>
      <c r="C294" s="444"/>
      <c r="D294" s="444"/>
      <c r="E294" s="445"/>
      <c r="F294" s="32"/>
      <c r="G294" s="320"/>
      <c r="H294" s="30"/>
      <c r="I294" s="148"/>
    </row>
    <row r="295" spans="1:9" s="31" customFormat="1" ht="12.75">
      <c r="A295" s="38" t="s">
        <v>413</v>
      </c>
      <c r="B295" s="95" t="s">
        <v>414</v>
      </c>
      <c r="C295" s="102"/>
      <c r="D295" s="96"/>
      <c r="E295" s="441">
        <v>140</v>
      </c>
      <c r="F295" s="24">
        <v>4.5199999999999996</v>
      </c>
      <c r="G295" s="52"/>
      <c r="H295" s="56">
        <v>0</v>
      </c>
      <c r="I295" s="138">
        <f t="shared" ref="I295:I318" si="14">F295*(1-G295)*H295</f>
        <v>0</v>
      </c>
    </row>
    <row r="296" spans="1:9" s="31" customFormat="1" ht="12.75">
      <c r="A296" s="28" t="s">
        <v>415</v>
      </c>
      <c r="B296" s="95" t="s">
        <v>416</v>
      </c>
      <c r="C296" s="102"/>
      <c r="D296" s="96"/>
      <c r="E296" s="441">
        <v>90</v>
      </c>
      <c r="F296" s="25">
        <v>8.49</v>
      </c>
      <c r="G296" s="53"/>
      <c r="H296" s="57">
        <v>0</v>
      </c>
      <c r="I296" s="139">
        <f t="shared" si="14"/>
        <v>0</v>
      </c>
    </row>
    <row r="297" spans="1:9" s="31" customFormat="1" ht="12.75">
      <c r="A297" s="28" t="s">
        <v>417</v>
      </c>
      <c r="B297" s="95" t="s">
        <v>418</v>
      </c>
      <c r="C297" s="102"/>
      <c r="D297" s="96"/>
      <c r="E297" s="62">
        <v>24</v>
      </c>
      <c r="F297" s="25">
        <v>14.18</v>
      </c>
      <c r="G297" s="53"/>
      <c r="H297" s="57">
        <v>0</v>
      </c>
      <c r="I297" s="139">
        <f t="shared" si="14"/>
        <v>0</v>
      </c>
    </row>
    <row r="298" spans="1:9" s="31" customFormat="1" ht="12.75">
      <c r="A298" s="28" t="s">
        <v>419</v>
      </c>
      <c r="B298" s="113" t="s">
        <v>82</v>
      </c>
      <c r="C298" s="114"/>
      <c r="D298" s="115"/>
      <c r="E298" s="441">
        <v>140</v>
      </c>
      <c r="F298" s="25">
        <v>5.65</v>
      </c>
      <c r="G298" s="53"/>
      <c r="H298" s="57">
        <v>0</v>
      </c>
      <c r="I298" s="139">
        <f t="shared" si="14"/>
        <v>0</v>
      </c>
    </row>
    <row r="299" spans="1:9" s="31" customFormat="1" ht="12.75">
      <c r="A299" s="28" t="s">
        <v>420</v>
      </c>
      <c r="B299" s="113" t="s">
        <v>80</v>
      </c>
      <c r="C299" s="114"/>
      <c r="D299" s="115"/>
      <c r="E299" s="441">
        <v>90</v>
      </c>
      <c r="F299" s="25">
        <v>11.34</v>
      </c>
      <c r="G299" s="53"/>
      <c r="H299" s="57">
        <v>0</v>
      </c>
      <c r="I299" s="139">
        <f t="shared" si="14"/>
        <v>0</v>
      </c>
    </row>
    <row r="300" spans="1:9" s="31" customFormat="1" ht="12.75">
      <c r="A300" s="28" t="s">
        <v>421</v>
      </c>
      <c r="B300" s="113" t="s">
        <v>81</v>
      </c>
      <c r="C300" s="114"/>
      <c r="D300" s="115"/>
      <c r="E300" s="62">
        <v>24</v>
      </c>
      <c r="F300" s="25">
        <v>17.02</v>
      </c>
      <c r="G300" s="53"/>
      <c r="H300" s="57">
        <v>0</v>
      </c>
      <c r="I300" s="139">
        <f t="shared" si="14"/>
        <v>0</v>
      </c>
    </row>
    <row r="301" spans="1:9" s="31" customFormat="1" ht="12.75">
      <c r="A301" s="28" t="s">
        <v>422</v>
      </c>
      <c r="B301" s="95" t="s">
        <v>423</v>
      </c>
      <c r="C301" s="102"/>
      <c r="D301" s="96"/>
      <c r="E301" s="62">
        <v>16</v>
      </c>
      <c r="F301" s="25">
        <v>8.49</v>
      </c>
      <c r="G301" s="53"/>
      <c r="H301" s="57">
        <v>0</v>
      </c>
      <c r="I301" s="139">
        <f t="shared" si="14"/>
        <v>0</v>
      </c>
    </row>
    <row r="302" spans="1:9" s="31" customFormat="1" ht="12.75">
      <c r="A302" s="28" t="s">
        <v>424</v>
      </c>
      <c r="B302" s="113" t="s">
        <v>425</v>
      </c>
      <c r="C302" s="114"/>
      <c r="D302" s="115"/>
      <c r="E302" s="441">
        <v>140</v>
      </c>
      <c r="F302" s="25">
        <v>5.65</v>
      </c>
      <c r="G302" s="53"/>
      <c r="H302" s="57">
        <v>0</v>
      </c>
      <c r="I302" s="139">
        <f t="shared" si="14"/>
        <v>0</v>
      </c>
    </row>
    <row r="303" spans="1:9" s="31" customFormat="1" ht="12.75">
      <c r="A303" s="28" t="s">
        <v>426</v>
      </c>
      <c r="B303" s="113" t="s">
        <v>427</v>
      </c>
      <c r="C303" s="114"/>
      <c r="D303" s="115"/>
      <c r="E303" s="441">
        <v>90</v>
      </c>
      <c r="F303" s="25">
        <v>11.34</v>
      </c>
      <c r="G303" s="53"/>
      <c r="H303" s="57">
        <v>0</v>
      </c>
      <c r="I303" s="139">
        <f t="shared" si="14"/>
        <v>0</v>
      </c>
    </row>
    <row r="304" spans="1:9" s="31" customFormat="1" ht="12.75">
      <c r="A304" s="28" t="s">
        <v>428</v>
      </c>
      <c r="B304" s="113" t="s">
        <v>429</v>
      </c>
      <c r="C304" s="114"/>
      <c r="D304" s="115"/>
      <c r="E304" s="62">
        <v>24</v>
      </c>
      <c r="F304" s="25">
        <v>17.02</v>
      </c>
      <c r="G304" s="53"/>
      <c r="H304" s="57">
        <v>0</v>
      </c>
      <c r="I304" s="139">
        <f t="shared" si="14"/>
        <v>0</v>
      </c>
    </row>
    <row r="305" spans="1:19">
      <c r="A305" s="28" t="s">
        <v>430</v>
      </c>
      <c r="B305" s="95" t="s">
        <v>431</v>
      </c>
      <c r="C305" s="102"/>
      <c r="D305" s="96"/>
      <c r="E305" s="441">
        <v>140</v>
      </c>
      <c r="F305" s="25">
        <v>5.65</v>
      </c>
      <c r="G305" s="53"/>
      <c r="H305" s="57">
        <v>0</v>
      </c>
      <c r="I305" s="139">
        <f t="shared" si="14"/>
        <v>0</v>
      </c>
      <c r="J305" s="31"/>
      <c r="K305" s="31"/>
      <c r="L305" s="31"/>
      <c r="M305" s="31"/>
      <c r="N305" s="31"/>
      <c r="O305" s="31"/>
      <c r="P305" s="31"/>
      <c r="Q305" s="31"/>
      <c r="R305" s="31"/>
      <c r="S305" s="31"/>
    </row>
    <row r="306" spans="1:19" s="31" customFormat="1" ht="12.75">
      <c r="A306" s="28" t="s">
        <v>432</v>
      </c>
      <c r="B306" s="95" t="s">
        <v>191</v>
      </c>
      <c r="C306" s="102"/>
      <c r="D306" s="96"/>
      <c r="E306" s="441">
        <v>90</v>
      </c>
      <c r="F306" s="25">
        <v>17.02</v>
      </c>
      <c r="G306" s="53"/>
      <c r="H306" s="57">
        <v>0</v>
      </c>
      <c r="I306" s="139">
        <f t="shared" si="14"/>
        <v>0</v>
      </c>
    </row>
    <row r="307" spans="1:19" s="31" customFormat="1" ht="12.75">
      <c r="A307" s="29" t="s">
        <v>433</v>
      </c>
      <c r="B307" s="366" t="s">
        <v>434</v>
      </c>
      <c r="C307" s="367"/>
      <c r="D307" s="368"/>
      <c r="E307" s="61">
        <v>24</v>
      </c>
      <c r="F307" s="26">
        <v>51.11</v>
      </c>
      <c r="G307" s="53"/>
      <c r="H307" s="57">
        <v>0</v>
      </c>
      <c r="I307" s="140">
        <f t="shared" si="14"/>
        <v>0</v>
      </c>
    </row>
    <row r="308" spans="1:19" s="31" customFormat="1" ht="12.75">
      <c r="A308" s="28" t="s">
        <v>1375</v>
      </c>
      <c r="B308" s="113" t="s">
        <v>1376</v>
      </c>
      <c r="C308" s="114"/>
      <c r="D308" s="115"/>
      <c r="E308" s="441">
        <v>24</v>
      </c>
      <c r="F308" s="25">
        <v>8.1</v>
      </c>
      <c r="G308" s="53"/>
      <c r="H308" s="57">
        <v>0</v>
      </c>
      <c r="I308" s="139">
        <f t="shared" si="14"/>
        <v>0</v>
      </c>
    </row>
    <row r="309" spans="1:19">
      <c r="A309" s="28" t="s">
        <v>1378</v>
      </c>
      <c r="B309" s="95" t="s">
        <v>1379</v>
      </c>
      <c r="C309" s="102"/>
      <c r="D309" s="96"/>
      <c r="E309" s="441">
        <v>24</v>
      </c>
      <c r="F309" s="25">
        <v>13.05</v>
      </c>
      <c r="G309" s="53"/>
      <c r="H309" s="57">
        <v>0</v>
      </c>
      <c r="I309" s="139">
        <f t="shared" si="14"/>
        <v>0</v>
      </c>
      <c r="J309" s="31"/>
      <c r="K309" s="31"/>
      <c r="L309" s="31"/>
      <c r="M309" s="31"/>
      <c r="N309" s="31"/>
      <c r="O309" s="31"/>
      <c r="P309" s="31"/>
      <c r="Q309" s="31"/>
      <c r="R309" s="31"/>
      <c r="S309" s="31"/>
    </row>
    <row r="310" spans="1:19" s="31" customFormat="1" ht="12.75">
      <c r="A310" s="28" t="s">
        <v>1381</v>
      </c>
      <c r="B310" s="113" t="s">
        <v>1382</v>
      </c>
      <c r="C310" s="114"/>
      <c r="D310" s="115"/>
      <c r="E310" s="441">
        <v>24</v>
      </c>
      <c r="F310" s="25">
        <v>11.9</v>
      </c>
      <c r="G310" s="53"/>
      <c r="H310" s="57">
        <v>0</v>
      </c>
      <c r="I310" s="139">
        <f t="shared" si="14"/>
        <v>0</v>
      </c>
    </row>
    <row r="311" spans="1:19">
      <c r="A311" s="28" t="s">
        <v>1384</v>
      </c>
      <c r="B311" s="95" t="s">
        <v>1385</v>
      </c>
      <c r="C311" s="102"/>
      <c r="D311" s="96"/>
      <c r="E311" s="441">
        <v>24</v>
      </c>
      <c r="F311" s="25">
        <v>10.3</v>
      </c>
      <c r="G311" s="53"/>
      <c r="H311" s="57">
        <v>0</v>
      </c>
      <c r="I311" s="139">
        <f t="shared" si="14"/>
        <v>0</v>
      </c>
      <c r="J311" s="31"/>
      <c r="K311" s="31"/>
      <c r="L311" s="31"/>
      <c r="M311" s="31"/>
      <c r="N311" s="31"/>
      <c r="O311" s="31"/>
      <c r="P311" s="31"/>
      <c r="Q311" s="31"/>
      <c r="R311" s="31"/>
      <c r="S311" s="31"/>
    </row>
    <row r="312" spans="1:19" s="31" customFormat="1" ht="12.75">
      <c r="A312" s="28" t="s">
        <v>1387</v>
      </c>
      <c r="B312" s="113" t="s">
        <v>1388</v>
      </c>
      <c r="C312" s="114"/>
      <c r="D312" s="115"/>
      <c r="E312" s="441">
        <v>24</v>
      </c>
      <c r="F312" s="25">
        <v>8.5</v>
      </c>
      <c r="G312" s="53"/>
      <c r="H312" s="57">
        <v>0</v>
      </c>
      <c r="I312" s="139">
        <f t="shared" si="14"/>
        <v>0</v>
      </c>
    </row>
    <row r="313" spans="1:19">
      <c r="A313" s="28" t="s">
        <v>1390</v>
      </c>
      <c r="B313" s="95" t="s">
        <v>1391</v>
      </c>
      <c r="C313" s="102"/>
      <c r="D313" s="96"/>
      <c r="E313" s="441">
        <v>90</v>
      </c>
      <c r="F313" s="25">
        <v>11</v>
      </c>
      <c r="G313" s="53"/>
      <c r="H313" s="57">
        <v>0</v>
      </c>
      <c r="I313" s="139">
        <f t="shared" si="14"/>
        <v>0</v>
      </c>
      <c r="J313" s="31"/>
      <c r="K313" s="31"/>
      <c r="L313" s="31"/>
      <c r="M313" s="31"/>
      <c r="N313" s="31"/>
      <c r="O313" s="31"/>
      <c r="P313" s="31"/>
      <c r="Q313" s="31"/>
      <c r="R313" s="31"/>
      <c r="S313" s="31"/>
    </row>
    <row r="314" spans="1:19">
      <c r="A314" s="28" t="s">
        <v>1393</v>
      </c>
      <c r="B314" s="95" t="s">
        <v>1394</v>
      </c>
      <c r="C314" s="102"/>
      <c r="D314" s="96"/>
      <c r="E314" s="441">
        <v>24</v>
      </c>
      <c r="F314" s="25">
        <v>24</v>
      </c>
      <c r="G314" s="53"/>
      <c r="H314" s="57">
        <v>0</v>
      </c>
      <c r="I314" s="139">
        <f t="shared" si="14"/>
        <v>0</v>
      </c>
      <c r="J314" s="31"/>
      <c r="K314" s="31"/>
      <c r="L314" s="31"/>
      <c r="M314" s="31"/>
      <c r="N314" s="31"/>
      <c r="O314" s="31"/>
      <c r="P314" s="31"/>
      <c r="Q314" s="31"/>
      <c r="R314" s="31"/>
      <c r="S314" s="31"/>
    </row>
    <row r="315" spans="1:19" s="31" customFormat="1" ht="12.75">
      <c r="A315" s="28" t="s">
        <v>1396</v>
      </c>
      <c r="B315" s="113" t="s">
        <v>1397</v>
      </c>
      <c r="C315" s="114"/>
      <c r="D315" s="115"/>
      <c r="E315" s="441">
        <v>90</v>
      </c>
      <c r="F315" s="25">
        <v>23</v>
      </c>
      <c r="G315" s="53"/>
      <c r="H315" s="57">
        <v>0</v>
      </c>
      <c r="I315" s="139">
        <f t="shared" si="14"/>
        <v>0</v>
      </c>
    </row>
    <row r="316" spans="1:19" s="31" customFormat="1" ht="12.75">
      <c r="A316" s="28" t="s">
        <v>1399</v>
      </c>
      <c r="B316" s="113" t="s">
        <v>1400</v>
      </c>
      <c r="C316" s="114"/>
      <c r="D316" s="115"/>
      <c r="E316" s="441">
        <v>24</v>
      </c>
      <c r="F316" s="25">
        <v>65</v>
      </c>
      <c r="G316" s="53"/>
      <c r="H316" s="57">
        <v>0</v>
      </c>
      <c r="I316" s="139">
        <f t="shared" si="14"/>
        <v>0</v>
      </c>
    </row>
    <row r="317" spans="1:19">
      <c r="A317" s="28" t="s">
        <v>1402</v>
      </c>
      <c r="B317" s="390" t="s">
        <v>1403</v>
      </c>
      <c r="C317" s="391"/>
      <c r="D317" s="392"/>
      <c r="E317" s="442">
        <v>90</v>
      </c>
      <c r="F317" s="25">
        <v>8</v>
      </c>
      <c r="G317" s="53"/>
      <c r="H317" s="57">
        <v>0</v>
      </c>
      <c r="I317" s="139">
        <f t="shared" si="14"/>
        <v>0</v>
      </c>
      <c r="J317" s="31"/>
      <c r="K317" s="31"/>
      <c r="L317" s="31"/>
      <c r="M317" s="31"/>
      <c r="N317" s="31"/>
      <c r="O317" s="31"/>
      <c r="P317" s="31"/>
      <c r="Q317" s="31"/>
      <c r="R317" s="31"/>
      <c r="S317" s="31"/>
    </row>
    <row r="318" spans="1:19">
      <c r="A318" s="29" t="s">
        <v>1405</v>
      </c>
      <c r="B318" s="397" t="s">
        <v>1406</v>
      </c>
      <c r="C318" s="398"/>
      <c r="D318" s="399"/>
      <c r="E318" s="443">
        <v>24</v>
      </c>
      <c r="F318" s="26">
        <v>16</v>
      </c>
      <c r="G318" s="54"/>
      <c r="H318" s="58">
        <v>0</v>
      </c>
      <c r="I318" s="140">
        <f t="shared" si="14"/>
        <v>0</v>
      </c>
      <c r="J318" s="31"/>
      <c r="K318" s="31"/>
      <c r="L318" s="31"/>
      <c r="M318" s="31"/>
      <c r="N318" s="31"/>
      <c r="O318" s="31"/>
      <c r="P318" s="31"/>
      <c r="Q318" s="31"/>
      <c r="R318" s="31"/>
      <c r="S318" s="31"/>
    </row>
    <row r="319" spans="1:19" s="31" customFormat="1" ht="12.75">
      <c r="A319" s="14" t="s">
        <v>435</v>
      </c>
      <c r="B319" s="13"/>
      <c r="C319" s="13"/>
      <c r="D319" s="13"/>
      <c r="E319" s="30"/>
      <c r="F319" s="33"/>
      <c r="G319" s="36"/>
      <c r="H319" s="30"/>
      <c r="I319" s="148"/>
    </row>
    <row r="320" spans="1:19" s="31" customFormat="1" ht="12.75">
      <c r="A320" s="27" t="s">
        <v>436</v>
      </c>
      <c r="B320" s="116" t="s">
        <v>83</v>
      </c>
      <c r="C320" s="117"/>
      <c r="D320" s="121"/>
      <c r="E320" s="126">
        <v>105</v>
      </c>
      <c r="F320" s="24">
        <v>8.49</v>
      </c>
      <c r="G320" s="52"/>
      <c r="H320" s="56">
        <v>0</v>
      </c>
      <c r="I320" s="138">
        <f>F320*(1-G320)*H320</f>
        <v>0</v>
      </c>
    </row>
    <row r="321" spans="1:9" s="31" customFormat="1" ht="12.75">
      <c r="A321" s="28" t="s">
        <v>437</v>
      </c>
      <c r="B321" s="118" t="s">
        <v>438</v>
      </c>
      <c r="C321" s="114"/>
      <c r="D321" s="115"/>
      <c r="E321" s="127">
        <v>105</v>
      </c>
      <c r="F321" s="25">
        <v>11.34</v>
      </c>
      <c r="G321" s="53"/>
      <c r="H321" s="57">
        <v>0</v>
      </c>
      <c r="I321" s="139">
        <f>F321*(1-G321)*H321</f>
        <v>0</v>
      </c>
    </row>
    <row r="322" spans="1:9">
      <c r="A322" s="28" t="s">
        <v>439</v>
      </c>
      <c r="B322" s="118" t="s">
        <v>440</v>
      </c>
      <c r="C322" s="114"/>
      <c r="D322" s="115"/>
      <c r="E322" s="127">
        <v>105</v>
      </c>
      <c r="F322" s="25">
        <v>14.18</v>
      </c>
      <c r="G322" s="53"/>
      <c r="H322" s="57">
        <v>0</v>
      </c>
      <c r="I322" s="139">
        <f>F322*(1-G322)*H322</f>
        <v>0</v>
      </c>
    </row>
    <row r="323" spans="1:9" s="31" customFormat="1" ht="12.75">
      <c r="A323" s="28" t="s">
        <v>441</v>
      </c>
      <c r="B323" s="118" t="s">
        <v>442</v>
      </c>
      <c r="C323" s="114"/>
      <c r="D323" s="115"/>
      <c r="E323" s="127">
        <v>105</v>
      </c>
      <c r="F323" s="25">
        <v>11.34</v>
      </c>
      <c r="G323" s="53"/>
      <c r="H323" s="57">
        <v>0</v>
      </c>
      <c r="I323" s="139">
        <f>F323*(1-G323)*H323</f>
        <v>0</v>
      </c>
    </row>
    <row r="324" spans="1:9" s="31" customFormat="1" ht="12.75">
      <c r="A324" s="29" t="s">
        <v>443</v>
      </c>
      <c r="B324" s="119" t="s">
        <v>444</v>
      </c>
      <c r="C324" s="120"/>
      <c r="D324" s="122"/>
      <c r="E324" s="128">
        <v>105</v>
      </c>
      <c r="F324" s="26">
        <v>17.02</v>
      </c>
      <c r="G324" s="54"/>
      <c r="H324" s="58">
        <v>0</v>
      </c>
      <c r="I324" s="140">
        <f>F324*(1-G324)*H324</f>
        <v>0</v>
      </c>
    </row>
    <row r="325" spans="1:9" s="31" customFormat="1" ht="12.75">
      <c r="A325" s="1" t="s">
        <v>445</v>
      </c>
      <c r="B325" s="335"/>
      <c r="C325" s="335"/>
      <c r="D325" s="335"/>
      <c r="E325" s="101"/>
      <c r="F325" s="336" t="s">
        <v>472</v>
      </c>
      <c r="G325" s="101"/>
      <c r="H325" s="101"/>
      <c r="I325" s="147"/>
    </row>
    <row r="326" spans="1:9">
      <c r="A326" s="27" t="s">
        <v>446</v>
      </c>
      <c r="B326" s="116" t="s">
        <v>447</v>
      </c>
      <c r="C326" s="117"/>
      <c r="D326" s="121"/>
      <c r="E326" s="126">
        <v>35</v>
      </c>
      <c r="F326" s="24">
        <v>7.93</v>
      </c>
      <c r="G326" s="52"/>
      <c r="H326" s="56">
        <v>0</v>
      </c>
      <c r="I326" s="138">
        <f>F326*(1-G326)*H326</f>
        <v>0</v>
      </c>
    </row>
    <row r="327" spans="1:9">
      <c r="A327" s="28" t="s">
        <v>448</v>
      </c>
      <c r="B327" s="118" t="s">
        <v>449</v>
      </c>
      <c r="C327" s="114"/>
      <c r="D327" s="115"/>
      <c r="E327" s="127">
        <v>35</v>
      </c>
      <c r="F327" s="25">
        <v>10.199999999999999</v>
      </c>
      <c r="G327" s="53"/>
      <c r="H327" s="57">
        <v>0</v>
      </c>
      <c r="I327" s="139">
        <f>F327*(1-G327)*H327</f>
        <v>0</v>
      </c>
    </row>
    <row r="328" spans="1:9">
      <c r="A328" s="28" t="s">
        <v>1366</v>
      </c>
      <c r="B328" s="118" t="s">
        <v>1367</v>
      </c>
      <c r="C328" s="114"/>
      <c r="D328" s="115"/>
      <c r="E328" s="127">
        <v>35</v>
      </c>
      <c r="F328" s="127">
        <v>11.34</v>
      </c>
      <c r="G328" s="53"/>
      <c r="H328" s="57">
        <v>0</v>
      </c>
      <c r="I328" s="139">
        <f>F328*(1-G328)*H328</f>
        <v>0</v>
      </c>
    </row>
    <row r="329" spans="1:9">
      <c r="A329" s="28" t="s">
        <v>1369</v>
      </c>
      <c r="B329" s="118" t="s">
        <v>1370</v>
      </c>
      <c r="C329" s="114"/>
      <c r="D329" s="115"/>
      <c r="E329" s="127">
        <v>35</v>
      </c>
      <c r="F329" s="127">
        <v>10.220000000000001</v>
      </c>
      <c r="G329" s="53"/>
      <c r="H329" s="57">
        <v>0</v>
      </c>
      <c r="I329" s="139">
        <f>F329*(1-G329)*H329</f>
        <v>0</v>
      </c>
    </row>
    <row r="330" spans="1:9">
      <c r="A330" s="29" t="s">
        <v>1372</v>
      </c>
      <c r="B330" s="119" t="s">
        <v>1373</v>
      </c>
      <c r="C330" s="120"/>
      <c r="D330" s="122"/>
      <c r="E330" s="128">
        <v>35</v>
      </c>
      <c r="F330" s="128">
        <v>11.34</v>
      </c>
      <c r="G330" s="54"/>
      <c r="H330" s="58">
        <v>0</v>
      </c>
      <c r="I330" s="140">
        <f>F330*(1-G330)*H330</f>
        <v>0</v>
      </c>
    </row>
    <row r="331" spans="1:9" s="31" customFormat="1" ht="12.75">
      <c r="A331" s="14" t="s">
        <v>450</v>
      </c>
      <c r="B331" s="13"/>
      <c r="C331" s="13"/>
      <c r="D331" s="13"/>
      <c r="E331" s="30"/>
      <c r="F331" s="33" t="s">
        <v>472</v>
      </c>
      <c r="G331" s="30"/>
      <c r="H331" s="30"/>
      <c r="I331" s="148"/>
    </row>
    <row r="332" spans="1:9" s="31" customFormat="1" ht="12.75">
      <c r="A332" s="27" t="s">
        <v>451</v>
      </c>
      <c r="B332" s="116" t="s">
        <v>452</v>
      </c>
      <c r="C332" s="117"/>
      <c r="D332" s="121"/>
      <c r="E332" s="130">
        <v>16</v>
      </c>
      <c r="F332" s="24">
        <v>11.34</v>
      </c>
      <c r="G332" s="52"/>
      <c r="H332" s="56">
        <v>0</v>
      </c>
      <c r="I332" s="138">
        <f>F332*(1-G332)*H332</f>
        <v>0</v>
      </c>
    </row>
    <row r="333" spans="1:9">
      <c r="A333" s="28" t="s">
        <v>453</v>
      </c>
      <c r="B333" s="118" t="s">
        <v>454</v>
      </c>
      <c r="C333" s="114"/>
      <c r="D333" s="115"/>
      <c r="E333" s="62">
        <v>16</v>
      </c>
      <c r="F333" s="25">
        <v>11.34</v>
      </c>
      <c r="G333" s="53"/>
      <c r="H333" s="57">
        <v>0</v>
      </c>
      <c r="I333" s="139">
        <f>F333*(1-G333)*H333</f>
        <v>0</v>
      </c>
    </row>
    <row r="334" spans="1:9" s="31" customFormat="1" ht="12.75">
      <c r="A334" s="28" t="s">
        <v>455</v>
      </c>
      <c r="B334" s="118" t="s">
        <v>456</v>
      </c>
      <c r="C334" s="114"/>
      <c r="D334" s="115"/>
      <c r="E334" s="62">
        <v>16</v>
      </c>
      <c r="F334" s="25">
        <v>11.34</v>
      </c>
      <c r="G334" s="53"/>
      <c r="H334" s="57">
        <v>0</v>
      </c>
      <c r="I334" s="139">
        <f>F334*(1-G334)*H334</f>
        <v>0</v>
      </c>
    </row>
    <row r="335" spans="1:9" s="31" customFormat="1" ht="12.75">
      <c r="A335" s="29" t="s">
        <v>457</v>
      </c>
      <c r="B335" s="119" t="s">
        <v>458</v>
      </c>
      <c r="C335" s="120"/>
      <c r="D335" s="122"/>
      <c r="E335" s="61">
        <v>16</v>
      </c>
      <c r="F335" s="26">
        <v>11.34</v>
      </c>
      <c r="G335" s="54"/>
      <c r="H335" s="58">
        <v>0</v>
      </c>
      <c r="I335" s="140">
        <f>F335*(1-G335)*H335</f>
        <v>0</v>
      </c>
    </row>
    <row r="336" spans="1:9" s="31" customFormat="1" ht="12.75">
      <c r="A336" s="14" t="s">
        <v>459</v>
      </c>
      <c r="B336" s="70"/>
      <c r="C336" s="70"/>
      <c r="D336" s="70"/>
      <c r="E336" s="60"/>
      <c r="F336" s="32"/>
      <c r="G336" s="30"/>
      <c r="H336" s="30"/>
      <c r="I336" s="148"/>
    </row>
    <row r="337" spans="1:9" s="31" customFormat="1" ht="12.75">
      <c r="A337" s="27" t="s">
        <v>460</v>
      </c>
      <c r="B337" s="116" t="s">
        <v>461</v>
      </c>
      <c r="C337" s="117"/>
      <c r="D337" s="121"/>
      <c r="E337" s="130">
        <v>105</v>
      </c>
      <c r="F337" s="24">
        <v>11.34</v>
      </c>
      <c r="G337" s="52"/>
      <c r="H337" s="56">
        <v>0</v>
      </c>
      <c r="I337" s="138">
        <f>F337*(1-G337)*H337</f>
        <v>0</v>
      </c>
    </row>
    <row r="338" spans="1:9" s="31" customFormat="1" ht="12.75">
      <c r="A338" s="28" t="s">
        <v>462</v>
      </c>
      <c r="B338" s="118" t="s">
        <v>463</v>
      </c>
      <c r="C338" s="114"/>
      <c r="D338" s="115"/>
      <c r="E338" s="62">
        <v>105</v>
      </c>
      <c r="F338" s="25">
        <v>11.34</v>
      </c>
      <c r="G338" s="53"/>
      <c r="H338" s="57">
        <v>0</v>
      </c>
      <c r="I338" s="139">
        <f>F338*(1-G338)*H338</f>
        <v>0</v>
      </c>
    </row>
    <row r="339" spans="1:9">
      <c r="A339" s="28" t="s">
        <v>464</v>
      </c>
      <c r="B339" s="118" t="s">
        <v>465</v>
      </c>
      <c r="C339" s="114"/>
      <c r="D339" s="115"/>
      <c r="E339" s="62">
        <v>105</v>
      </c>
      <c r="F339" s="25">
        <v>11.34</v>
      </c>
      <c r="G339" s="53"/>
      <c r="H339" s="57">
        <v>0</v>
      </c>
      <c r="I339" s="139">
        <f>F339*(1-G339)*H339</f>
        <v>0</v>
      </c>
    </row>
    <row r="340" spans="1:9">
      <c r="A340" s="28" t="s">
        <v>466</v>
      </c>
      <c r="B340" s="118" t="s">
        <v>467</v>
      </c>
      <c r="C340" s="114"/>
      <c r="D340" s="115"/>
      <c r="E340" s="62">
        <v>105</v>
      </c>
      <c r="F340" s="25">
        <v>11.34</v>
      </c>
      <c r="G340" s="53"/>
      <c r="H340" s="57">
        <v>0</v>
      </c>
      <c r="I340" s="139">
        <f>F340*(1-G340)*H340</f>
        <v>0</v>
      </c>
    </row>
    <row r="341" spans="1:9">
      <c r="A341" s="29" t="s">
        <v>468</v>
      </c>
      <c r="B341" s="119" t="s">
        <v>469</v>
      </c>
      <c r="C341" s="120"/>
      <c r="D341" s="122"/>
      <c r="E341" s="61">
        <v>105</v>
      </c>
      <c r="F341" s="26">
        <v>11.34</v>
      </c>
      <c r="G341" s="54"/>
      <c r="H341" s="58">
        <v>0</v>
      </c>
      <c r="I341" s="140">
        <f>F341*(1-G341)*H341</f>
        <v>0</v>
      </c>
    </row>
    <row r="342" spans="1:9" s="15" customFormat="1">
      <c r="A342" s="14" t="s">
        <v>1089</v>
      </c>
      <c r="C342" s="13"/>
      <c r="D342" s="13"/>
      <c r="E342" s="13"/>
      <c r="F342" s="13"/>
      <c r="G342" s="315"/>
      <c r="H342" s="316"/>
      <c r="I342" s="316"/>
    </row>
    <row r="343" spans="1:9" s="31" customFormat="1" ht="12.75">
      <c r="A343" s="27" t="s">
        <v>1091</v>
      </c>
      <c r="B343" s="116" t="s">
        <v>1092</v>
      </c>
      <c r="C343" s="117"/>
      <c r="D343" s="121"/>
      <c r="E343" s="130">
        <v>14</v>
      </c>
      <c r="F343" s="24">
        <v>11.34</v>
      </c>
      <c r="G343" s="52"/>
      <c r="H343" s="56">
        <v>0</v>
      </c>
      <c r="I343" s="138">
        <f t="shared" ref="I343:I345" si="15">F343*(1-G343)*H343</f>
        <v>0</v>
      </c>
    </row>
    <row r="344" spans="1:9" s="31" customFormat="1" ht="12.75">
      <c r="A344" s="28" t="s">
        <v>1095</v>
      </c>
      <c r="B344" s="118" t="s">
        <v>1096</v>
      </c>
      <c r="C344" s="114"/>
      <c r="D344" s="115"/>
      <c r="E344" s="62">
        <v>14</v>
      </c>
      <c r="F344" s="25">
        <v>11.34</v>
      </c>
      <c r="G344" s="53"/>
      <c r="H344" s="57">
        <v>0</v>
      </c>
      <c r="I344" s="139">
        <f t="shared" si="15"/>
        <v>0</v>
      </c>
    </row>
    <row r="345" spans="1:9" s="31" customFormat="1" ht="12.75">
      <c r="A345" s="29" t="s">
        <v>1098</v>
      </c>
      <c r="B345" s="119" t="s">
        <v>1099</v>
      </c>
      <c r="C345" s="120"/>
      <c r="D345" s="122"/>
      <c r="E345" s="61" t="s">
        <v>1100</v>
      </c>
      <c r="F345" s="26">
        <v>11.34</v>
      </c>
      <c r="G345" s="54"/>
      <c r="H345" s="58">
        <v>0</v>
      </c>
      <c r="I345" s="140">
        <f t="shared" si="15"/>
        <v>0</v>
      </c>
    </row>
    <row r="346" spans="1:9">
      <c r="A346" s="14" t="s">
        <v>470</v>
      </c>
      <c r="B346" s="16"/>
      <c r="C346" s="16"/>
      <c r="D346" s="16"/>
      <c r="E346" s="22"/>
      <c r="F346" s="23"/>
      <c r="G346" s="320"/>
      <c r="H346" s="321"/>
      <c r="I346" s="319"/>
    </row>
    <row r="347" spans="1:9">
      <c r="A347" s="34" t="s">
        <v>471</v>
      </c>
      <c r="B347" s="71" t="s">
        <v>1291</v>
      </c>
      <c r="C347" s="85"/>
      <c r="D347" s="85"/>
      <c r="E347" s="64">
        <v>40</v>
      </c>
      <c r="F347" s="72">
        <v>394.36</v>
      </c>
      <c r="G347" s="73"/>
      <c r="H347" s="74">
        <v>0</v>
      </c>
      <c r="I347" s="149"/>
    </row>
    <row r="348" spans="1:9">
      <c r="A348" s="15"/>
      <c r="E348" s="20"/>
      <c r="F348" s="20"/>
      <c r="G348" s="39"/>
      <c r="H348" s="40" t="s">
        <v>64</v>
      </c>
      <c r="I348" s="41">
        <f>SUM(I17:I347)</f>
        <v>0</v>
      </c>
    </row>
    <row r="349" spans="1:9">
      <c r="A349" s="15"/>
      <c r="E349" s="20"/>
      <c r="F349" s="20"/>
      <c r="G349" s="7"/>
      <c r="H349" s="40" t="s">
        <v>65</v>
      </c>
      <c r="I349" s="59">
        <v>0</v>
      </c>
    </row>
    <row r="350" spans="1:9" ht="15.75" thickBot="1">
      <c r="A350" s="15"/>
      <c r="E350" s="20"/>
      <c r="F350" s="20"/>
      <c r="G350" s="42"/>
      <c r="H350" s="43" t="s">
        <v>73</v>
      </c>
      <c r="I350" s="44">
        <f>(I348+I349)*0.1</f>
        <v>0</v>
      </c>
    </row>
    <row r="351" spans="1:9" ht="15.75" thickTop="1">
      <c r="A351" s="15"/>
      <c r="E351" s="20"/>
      <c r="F351" s="20"/>
      <c r="G351" s="7"/>
      <c r="H351" s="45" t="s">
        <v>74</v>
      </c>
      <c r="I351" s="46">
        <f>I348+I349+I350</f>
        <v>0</v>
      </c>
    </row>
    <row r="352" spans="1:9">
      <c r="A352" s="15"/>
      <c r="E352" s="20"/>
      <c r="F352" s="20"/>
      <c r="G352" s="47"/>
      <c r="H352" s="2"/>
    </row>
    <row r="353" spans="1:8">
      <c r="A353" s="15"/>
      <c r="E353" s="20"/>
      <c r="F353" s="20"/>
      <c r="G353" s="47"/>
      <c r="H353" s="2"/>
    </row>
    <row r="354" spans="1:8">
      <c r="A354" s="15"/>
      <c r="E354" s="20"/>
      <c r="F354" s="20"/>
      <c r="G354" s="47"/>
      <c r="H354" s="2"/>
    </row>
    <row r="355" spans="1:8">
      <c r="A355" s="15"/>
      <c r="E355" s="20"/>
      <c r="F355" s="20"/>
      <c r="G355" s="47"/>
      <c r="H355" s="2"/>
    </row>
  </sheetData>
  <sheetProtection selectLockedCells="1"/>
  <mergeCells count="8">
    <mergeCell ref="B11:D11"/>
    <mergeCell ref="G11:I11"/>
    <mergeCell ref="B9:D9"/>
    <mergeCell ref="G9:I9"/>
    <mergeCell ref="B8:D8"/>
    <mergeCell ref="G8:I8"/>
    <mergeCell ref="B10:D10"/>
    <mergeCell ref="G10:I10"/>
  </mergeCells>
  <phoneticPr fontId="2" type="noConversion"/>
  <printOptions horizontalCentered="1"/>
  <pageMargins left="0.5" right="0.35433070866141736" top="0.16" bottom="0.45" header="0.11811023622047245" footer="0.23622047244094491"/>
  <pageSetup paperSize="9" scale="79" fitToHeight="0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36"/>
  <sheetViews>
    <sheetView zoomScale="80" zoomScaleNormal="80" workbookViewId="0">
      <pane ySplit="7" topLeftCell="A8" activePane="bottomLeft" state="frozen"/>
      <selection pane="bottomLeft" activeCell="D12" sqref="D12"/>
    </sheetView>
  </sheetViews>
  <sheetFormatPr defaultColWidth="8.75" defaultRowHeight="15"/>
  <cols>
    <col min="1" max="1" width="14.125" style="156" customWidth="1"/>
    <col min="2" max="2" width="10.25" style="157" customWidth="1"/>
    <col min="3" max="3" width="27.125" style="157" customWidth="1"/>
    <col min="4" max="4" width="6.625" style="157" customWidth="1"/>
    <col min="5" max="5" width="13.625" style="157" customWidth="1"/>
    <col min="6" max="6" width="10.25" style="159" customWidth="1"/>
    <col min="7" max="7" width="10.75" style="159" customWidth="1"/>
    <col min="8" max="8" width="8.75" style="159" customWidth="1"/>
    <col min="9" max="9" width="15.25" style="159" customWidth="1"/>
    <col min="10" max="10" width="16.5" style="159" customWidth="1"/>
    <col min="11" max="11" width="13" style="159" customWidth="1"/>
    <col min="12" max="12" width="12" style="159" customWidth="1"/>
    <col min="13" max="13" width="12.625" style="159" customWidth="1"/>
    <col min="14" max="14" width="11.875" style="159" customWidth="1"/>
    <col min="15" max="15" width="12.375" style="159" customWidth="1"/>
    <col min="16" max="16" width="11.625" style="159" customWidth="1"/>
    <col min="17" max="17" width="12.5" style="159" customWidth="1"/>
    <col min="18" max="18" width="12" style="159" customWidth="1"/>
    <col min="19" max="16384" width="8.75" style="157"/>
  </cols>
  <sheetData>
    <row r="1" spans="1:18" s="152" customFormat="1" ht="16.5" customHeight="1">
      <c r="A1" s="151"/>
      <c r="C1" s="153"/>
      <c r="D1" s="153"/>
      <c r="E1" s="153"/>
      <c r="F1" s="154"/>
      <c r="G1" s="154"/>
      <c r="H1" s="154"/>
      <c r="I1" s="154"/>
      <c r="J1" s="154"/>
      <c r="K1" s="154"/>
      <c r="L1" s="154"/>
      <c r="N1" s="155"/>
      <c r="O1" s="155"/>
      <c r="P1" s="155"/>
      <c r="Q1" s="155"/>
      <c r="R1" s="155" t="s">
        <v>1007</v>
      </c>
    </row>
    <row r="2" spans="1:18" ht="13.9" customHeight="1">
      <c r="C2" s="322" t="s">
        <v>1407</v>
      </c>
      <c r="D2" s="153"/>
      <c r="E2" s="153"/>
      <c r="J2" s="160"/>
      <c r="K2" s="160"/>
      <c r="N2" s="161"/>
      <c r="O2" s="161"/>
      <c r="P2" s="161"/>
      <c r="Q2" s="161"/>
      <c r="R2" s="161"/>
    </row>
    <row r="3" spans="1:18" s="163" customFormat="1" ht="13.9" customHeight="1">
      <c r="A3" s="162"/>
      <c r="C3" s="158"/>
      <c r="D3" s="153"/>
      <c r="E3" s="153"/>
      <c r="F3" s="164"/>
      <c r="G3" s="159"/>
      <c r="H3" s="159"/>
      <c r="I3" s="159"/>
      <c r="J3" s="164"/>
      <c r="K3" s="164"/>
      <c r="L3" s="164"/>
      <c r="N3" s="165"/>
      <c r="O3" s="165"/>
      <c r="P3" s="165"/>
      <c r="Q3" s="165"/>
      <c r="R3" s="165" t="s">
        <v>1008</v>
      </c>
    </row>
    <row r="4" spans="1:18" s="163" customFormat="1" ht="13.9" customHeight="1">
      <c r="A4" s="162"/>
      <c r="C4" s="153"/>
      <c r="D4" s="153"/>
      <c r="E4" s="153"/>
      <c r="F4" s="164"/>
      <c r="G4" s="159"/>
      <c r="H4" s="159"/>
      <c r="I4" s="159"/>
      <c r="J4" s="164"/>
      <c r="K4" s="164"/>
      <c r="L4" s="164"/>
      <c r="N4" s="165"/>
      <c r="O4" s="165"/>
      <c r="P4" s="165"/>
      <c r="Q4" s="165"/>
      <c r="R4" s="165" t="s">
        <v>1009</v>
      </c>
    </row>
    <row r="5" spans="1:18" s="163" customFormat="1" ht="13.9" customHeight="1">
      <c r="A5" s="162"/>
      <c r="C5" s="153"/>
      <c r="D5" s="153"/>
      <c r="E5" s="153"/>
      <c r="F5" s="164"/>
      <c r="G5" s="164"/>
      <c r="H5" s="164"/>
      <c r="I5" s="159"/>
      <c r="J5" s="164"/>
      <c r="K5" s="164"/>
      <c r="L5" s="164"/>
      <c r="N5" s="165"/>
      <c r="O5" s="165"/>
      <c r="P5" s="165"/>
      <c r="Q5" s="165"/>
      <c r="R5" s="333" t="s">
        <v>1106</v>
      </c>
    </row>
    <row r="6" spans="1:18" s="163" customFormat="1" ht="13.9" customHeight="1">
      <c r="A6" s="162"/>
      <c r="C6" s="153"/>
      <c r="D6" s="153"/>
      <c r="E6" s="153"/>
      <c r="F6" s="164"/>
      <c r="G6" s="164"/>
      <c r="H6" s="164"/>
      <c r="I6" s="164"/>
      <c r="J6" s="164"/>
      <c r="K6" s="164"/>
      <c r="L6" s="164"/>
      <c r="N6" s="165"/>
      <c r="O6" s="165"/>
      <c r="P6" s="165"/>
      <c r="Q6" s="165"/>
      <c r="R6" s="334" t="s">
        <v>1107</v>
      </c>
    </row>
    <row r="7" spans="1:18" s="163" customFormat="1" ht="40.15" customHeight="1">
      <c r="A7" s="166" t="s">
        <v>68</v>
      </c>
      <c r="B7" s="167" t="s">
        <v>66</v>
      </c>
      <c r="C7" s="168" t="s">
        <v>69</v>
      </c>
      <c r="D7" s="169"/>
      <c r="E7" s="170"/>
      <c r="F7" s="171" t="s">
        <v>70</v>
      </c>
      <c r="G7" s="171" t="s">
        <v>78</v>
      </c>
      <c r="H7" s="171" t="s">
        <v>67</v>
      </c>
      <c r="I7" s="171" t="s">
        <v>1010</v>
      </c>
      <c r="J7" s="171" t="s">
        <v>1011</v>
      </c>
      <c r="K7" s="172" t="s">
        <v>1012</v>
      </c>
      <c r="L7" s="172" t="s">
        <v>1013</v>
      </c>
      <c r="M7" s="172" t="s">
        <v>1014</v>
      </c>
      <c r="N7" s="172" t="s">
        <v>1015</v>
      </c>
      <c r="O7" s="173" t="s">
        <v>1016</v>
      </c>
      <c r="P7" s="173" t="s">
        <v>1017</v>
      </c>
      <c r="Q7" s="173" t="s">
        <v>1018</v>
      </c>
      <c r="R7" s="174" t="s">
        <v>1019</v>
      </c>
    </row>
    <row r="8" spans="1:18">
      <c r="B8" s="175" t="s">
        <v>1064</v>
      </c>
    </row>
    <row r="9" spans="1:18" s="186" customFormat="1" ht="12.75">
      <c r="A9" s="176" t="s">
        <v>496</v>
      </c>
      <c r="B9" s="176" t="s">
        <v>489</v>
      </c>
      <c r="C9" s="177" t="s">
        <v>490</v>
      </c>
      <c r="D9" s="178"/>
      <c r="E9" s="179"/>
      <c r="F9" s="180">
        <v>130</v>
      </c>
      <c r="G9" s="181">
        <v>6.8</v>
      </c>
      <c r="H9" s="182">
        <v>11.95</v>
      </c>
      <c r="I9" s="182" t="s">
        <v>1020</v>
      </c>
      <c r="J9" s="183">
        <v>0.157</v>
      </c>
      <c r="K9" s="184">
        <v>36</v>
      </c>
      <c r="L9" s="185">
        <v>6</v>
      </c>
      <c r="M9" s="184" t="s">
        <v>1021</v>
      </c>
      <c r="N9" s="184">
        <v>1.4999999999999999E-2</v>
      </c>
      <c r="O9" s="184"/>
      <c r="P9" s="184"/>
      <c r="Q9" s="184"/>
      <c r="R9" s="184"/>
    </row>
    <row r="10" spans="1:18" s="186" customFormat="1" ht="12.75">
      <c r="A10" s="187" t="s">
        <v>495</v>
      </c>
      <c r="B10" s="187" t="s">
        <v>491</v>
      </c>
      <c r="C10" s="188" t="s">
        <v>492</v>
      </c>
      <c r="D10" s="189"/>
      <c r="E10" s="190"/>
      <c r="F10" s="191">
        <v>130</v>
      </c>
      <c r="G10" s="192">
        <v>6.8</v>
      </c>
      <c r="H10" s="193">
        <v>11.95</v>
      </c>
      <c r="I10" s="193" t="s">
        <v>1020</v>
      </c>
      <c r="J10" s="194">
        <v>0.157</v>
      </c>
      <c r="K10" s="195">
        <v>36</v>
      </c>
      <c r="L10" s="196">
        <v>6</v>
      </c>
      <c r="M10" s="195" t="s">
        <v>1021</v>
      </c>
      <c r="N10" s="195">
        <v>1.4999999999999999E-2</v>
      </c>
      <c r="O10" s="195"/>
      <c r="P10" s="195"/>
      <c r="Q10" s="195"/>
      <c r="R10" s="195"/>
    </row>
    <row r="11" spans="1:18" s="186" customFormat="1" ht="12.75">
      <c r="A11" s="197" t="s">
        <v>497</v>
      </c>
      <c r="B11" s="197" t="s">
        <v>493</v>
      </c>
      <c r="C11" s="198" t="s">
        <v>1071</v>
      </c>
      <c r="D11" s="199"/>
      <c r="E11" s="200"/>
      <c r="F11" s="201">
        <v>130</v>
      </c>
      <c r="G11" s="202">
        <v>6.8</v>
      </c>
      <c r="H11" s="203">
        <v>11.95</v>
      </c>
      <c r="I11" s="203" t="s">
        <v>1020</v>
      </c>
      <c r="J11" s="204">
        <v>0.157</v>
      </c>
      <c r="K11" s="205">
        <v>36</v>
      </c>
      <c r="L11" s="206">
        <v>6</v>
      </c>
      <c r="M11" s="205" t="s">
        <v>1021</v>
      </c>
      <c r="N11" s="205">
        <v>1.4999999999999999E-2</v>
      </c>
      <c r="O11" s="205"/>
      <c r="P11" s="205"/>
      <c r="Q11" s="205"/>
      <c r="R11" s="205"/>
    </row>
    <row r="12" spans="1:18" s="310" customFormat="1" ht="12.75">
      <c r="A12" s="318"/>
      <c r="B12" s="301" t="s">
        <v>1072</v>
      </c>
      <c r="C12" s="302"/>
      <c r="D12" s="302"/>
      <c r="E12" s="302"/>
      <c r="F12" s="303"/>
      <c r="G12" s="304"/>
      <c r="H12" s="305"/>
      <c r="I12" s="305"/>
      <c r="J12" s="305"/>
      <c r="K12" s="305"/>
      <c r="L12" s="305"/>
      <c r="M12" s="306"/>
      <c r="N12" s="307"/>
      <c r="O12" s="308"/>
      <c r="P12" s="307"/>
      <c r="Q12" s="307"/>
      <c r="R12" s="309"/>
    </row>
    <row r="13" spans="1:18" s="310" customFormat="1" ht="12.75">
      <c r="A13" s="176" t="s">
        <v>1073</v>
      </c>
      <c r="B13" s="176" t="s">
        <v>1074</v>
      </c>
      <c r="C13" s="177" t="s">
        <v>1075</v>
      </c>
      <c r="D13" s="178"/>
      <c r="E13" s="342"/>
      <c r="F13" s="180" t="s">
        <v>1076</v>
      </c>
      <c r="G13" s="181">
        <v>6.8</v>
      </c>
      <c r="H13" s="182">
        <v>11.95</v>
      </c>
      <c r="I13" s="311" t="s">
        <v>1101</v>
      </c>
      <c r="J13" s="183">
        <v>0.105</v>
      </c>
      <c r="K13" s="184">
        <v>44</v>
      </c>
      <c r="L13" s="185">
        <v>5.9</v>
      </c>
      <c r="M13" s="184" t="s">
        <v>1023</v>
      </c>
      <c r="N13" s="184">
        <v>1.2E-2</v>
      </c>
      <c r="O13" s="184"/>
      <c r="P13" s="184"/>
      <c r="Q13" s="184"/>
      <c r="R13" s="184"/>
    </row>
    <row r="14" spans="1:18" s="310" customFormat="1" ht="12.75">
      <c r="A14" s="187" t="s">
        <v>1077</v>
      </c>
      <c r="B14" s="187" t="s">
        <v>1078</v>
      </c>
      <c r="C14" s="188" t="s">
        <v>1079</v>
      </c>
      <c r="D14" s="189"/>
      <c r="E14" s="271"/>
      <c r="F14" s="191" t="s">
        <v>1076</v>
      </c>
      <c r="G14" s="192">
        <v>6.8</v>
      </c>
      <c r="H14" s="193">
        <v>11.95</v>
      </c>
      <c r="I14" s="312" t="s">
        <v>1102</v>
      </c>
      <c r="J14" s="194">
        <v>0.105</v>
      </c>
      <c r="K14" s="195">
        <v>44</v>
      </c>
      <c r="L14" s="196">
        <v>5.9</v>
      </c>
      <c r="M14" s="195" t="s">
        <v>1023</v>
      </c>
      <c r="N14" s="195">
        <v>1.2E-2</v>
      </c>
      <c r="O14" s="195"/>
      <c r="P14" s="195"/>
      <c r="Q14" s="195"/>
      <c r="R14" s="195"/>
    </row>
    <row r="15" spans="1:18" s="310" customFormat="1" ht="12.75">
      <c r="A15" s="187" t="s">
        <v>1080</v>
      </c>
      <c r="B15" s="187" t="s">
        <v>1081</v>
      </c>
      <c r="C15" s="188" t="s">
        <v>1082</v>
      </c>
      <c r="D15" s="189"/>
      <c r="E15" s="271"/>
      <c r="F15" s="191" t="s">
        <v>1076</v>
      </c>
      <c r="G15" s="192">
        <v>6.8</v>
      </c>
      <c r="H15" s="193">
        <v>11.95</v>
      </c>
      <c r="I15" s="312" t="s">
        <v>1103</v>
      </c>
      <c r="J15" s="194">
        <v>0.105</v>
      </c>
      <c r="K15" s="195">
        <v>44</v>
      </c>
      <c r="L15" s="196">
        <v>5.9</v>
      </c>
      <c r="M15" s="195" t="s">
        <v>1023</v>
      </c>
      <c r="N15" s="195">
        <v>1.2E-2</v>
      </c>
      <c r="O15" s="195"/>
      <c r="P15" s="195"/>
      <c r="Q15" s="195"/>
      <c r="R15" s="195"/>
    </row>
    <row r="16" spans="1:18" s="310" customFormat="1" ht="12.75">
      <c r="A16" s="187" t="s">
        <v>1083</v>
      </c>
      <c r="B16" s="187" t="s">
        <v>1084</v>
      </c>
      <c r="C16" s="188" t="s">
        <v>1085</v>
      </c>
      <c r="D16" s="189"/>
      <c r="E16" s="271"/>
      <c r="F16" s="191" t="s">
        <v>1076</v>
      </c>
      <c r="G16" s="192">
        <v>6.8</v>
      </c>
      <c r="H16" s="193">
        <v>11.95</v>
      </c>
      <c r="I16" s="312" t="s">
        <v>1104</v>
      </c>
      <c r="J16" s="194">
        <v>0.105</v>
      </c>
      <c r="K16" s="195">
        <v>44</v>
      </c>
      <c r="L16" s="196">
        <v>5.9</v>
      </c>
      <c r="M16" s="195" t="s">
        <v>1023</v>
      </c>
      <c r="N16" s="195">
        <v>1.2E-2</v>
      </c>
      <c r="O16" s="195"/>
      <c r="P16" s="195"/>
      <c r="Q16" s="195"/>
      <c r="R16" s="195"/>
    </row>
    <row r="17" spans="1:18" s="310" customFormat="1" ht="12.75">
      <c r="A17" s="197" t="s">
        <v>1086</v>
      </c>
      <c r="B17" s="197" t="s">
        <v>1087</v>
      </c>
      <c r="C17" s="198" t="s">
        <v>1088</v>
      </c>
      <c r="D17" s="199"/>
      <c r="E17" s="272"/>
      <c r="F17" s="201" t="s">
        <v>1076</v>
      </c>
      <c r="G17" s="202">
        <v>6.8</v>
      </c>
      <c r="H17" s="203">
        <v>11.95</v>
      </c>
      <c r="I17" s="313" t="s">
        <v>1105</v>
      </c>
      <c r="J17" s="204">
        <v>0.105</v>
      </c>
      <c r="K17" s="205">
        <v>44</v>
      </c>
      <c r="L17" s="206">
        <v>5.9</v>
      </c>
      <c r="M17" s="205" t="s">
        <v>1023</v>
      </c>
      <c r="N17" s="205">
        <v>1.2E-2</v>
      </c>
      <c r="O17" s="205"/>
      <c r="P17" s="205"/>
      <c r="Q17" s="205"/>
      <c r="R17" s="205"/>
    </row>
    <row r="18" spans="1:18" s="211" customFormat="1" ht="12.75">
      <c r="A18" s="186"/>
      <c r="B18" s="207" t="s">
        <v>1059</v>
      </c>
      <c r="C18" s="208"/>
      <c r="D18" s="208"/>
      <c r="E18" s="208"/>
      <c r="F18" s="209"/>
      <c r="G18" s="210"/>
      <c r="H18" s="210"/>
      <c r="I18" s="210"/>
      <c r="J18" s="209"/>
      <c r="K18" s="209"/>
      <c r="L18" s="209"/>
      <c r="M18" s="209"/>
      <c r="N18" s="209"/>
      <c r="O18" s="209"/>
      <c r="P18" s="209"/>
      <c r="Q18" s="209"/>
      <c r="R18" s="209"/>
    </row>
    <row r="19" spans="1:18" s="211" customFormat="1" ht="12.75">
      <c r="A19" s="212" t="s">
        <v>517</v>
      </c>
      <c r="B19" s="176" t="s">
        <v>84</v>
      </c>
      <c r="C19" s="213" t="s">
        <v>85</v>
      </c>
      <c r="D19" s="178"/>
      <c r="E19" s="179"/>
      <c r="F19" s="214">
        <v>250</v>
      </c>
      <c r="G19" s="182">
        <v>9.6300000000000008</v>
      </c>
      <c r="H19" s="182">
        <v>16.95</v>
      </c>
      <c r="I19" s="181" t="s">
        <v>1022</v>
      </c>
      <c r="J19" s="215">
        <v>0.28499999999999998</v>
      </c>
      <c r="K19" s="215">
        <v>20</v>
      </c>
      <c r="L19" s="451">
        <v>6.1</v>
      </c>
      <c r="M19" s="215" t="s">
        <v>1023</v>
      </c>
      <c r="N19" s="215">
        <v>1.2E-2</v>
      </c>
      <c r="O19" s="215"/>
      <c r="P19" s="215"/>
      <c r="Q19" s="215"/>
      <c r="R19" s="215"/>
    </row>
    <row r="20" spans="1:18" s="211" customFormat="1" ht="12.75">
      <c r="A20" s="217" t="s">
        <v>518</v>
      </c>
      <c r="B20" s="187" t="s">
        <v>86</v>
      </c>
      <c r="C20" s="218" t="s">
        <v>87</v>
      </c>
      <c r="D20" s="189"/>
      <c r="E20" s="190"/>
      <c r="F20" s="219">
        <v>250</v>
      </c>
      <c r="G20" s="193">
        <v>10.77</v>
      </c>
      <c r="H20" s="193">
        <v>18.95</v>
      </c>
      <c r="I20" s="192" t="s">
        <v>1022</v>
      </c>
      <c r="J20" s="220">
        <v>0.26</v>
      </c>
      <c r="K20" s="220">
        <v>20</v>
      </c>
      <c r="L20" s="452">
        <v>5.7</v>
      </c>
      <c r="M20" s="220" t="s">
        <v>1023</v>
      </c>
      <c r="N20" s="220">
        <v>1.2E-2</v>
      </c>
      <c r="O20" s="220"/>
      <c r="P20" s="220"/>
      <c r="Q20" s="220"/>
      <c r="R20" s="220"/>
    </row>
    <row r="21" spans="1:18" s="211" customFormat="1" ht="12.75">
      <c r="A21" s="217" t="s">
        <v>519</v>
      </c>
      <c r="B21" s="187" t="s">
        <v>88</v>
      </c>
      <c r="C21" s="218" t="s">
        <v>89</v>
      </c>
      <c r="D21" s="189"/>
      <c r="E21" s="190"/>
      <c r="F21" s="219">
        <v>250</v>
      </c>
      <c r="G21" s="193">
        <v>9.6300000000000008</v>
      </c>
      <c r="H21" s="193">
        <v>16.95</v>
      </c>
      <c r="I21" s="192" t="s">
        <v>1022</v>
      </c>
      <c r="J21" s="220">
        <v>0.28499999999999998</v>
      </c>
      <c r="K21" s="220">
        <v>20</v>
      </c>
      <c r="L21" s="452">
        <v>6.1</v>
      </c>
      <c r="M21" s="220" t="s">
        <v>1023</v>
      </c>
      <c r="N21" s="220">
        <v>1.2E-2</v>
      </c>
      <c r="O21" s="220"/>
      <c r="P21" s="220"/>
      <c r="Q21" s="220"/>
      <c r="R21" s="220"/>
    </row>
    <row r="22" spans="1:18" s="211" customFormat="1" ht="12.75">
      <c r="A22" s="222" t="s">
        <v>520</v>
      </c>
      <c r="B22" s="197" t="s">
        <v>90</v>
      </c>
      <c r="C22" s="223" t="s">
        <v>91</v>
      </c>
      <c r="D22" s="199"/>
      <c r="E22" s="200"/>
      <c r="F22" s="224">
        <v>250</v>
      </c>
      <c r="G22" s="203">
        <v>10.77</v>
      </c>
      <c r="H22" s="203">
        <v>18.95</v>
      </c>
      <c r="I22" s="202" t="s">
        <v>1022</v>
      </c>
      <c r="J22" s="225">
        <v>0.26</v>
      </c>
      <c r="K22" s="225">
        <v>20</v>
      </c>
      <c r="L22" s="452">
        <v>5.7</v>
      </c>
      <c r="M22" s="225" t="s">
        <v>1023</v>
      </c>
      <c r="N22" s="225">
        <v>1.2E-2</v>
      </c>
      <c r="O22" s="225"/>
      <c r="P22" s="225"/>
      <c r="Q22" s="225"/>
      <c r="R22" s="225"/>
    </row>
    <row r="23" spans="1:18" s="211" customFormat="1" ht="12.75">
      <c r="A23" s="227"/>
      <c r="B23" s="207" t="s">
        <v>1060</v>
      </c>
      <c r="C23" s="228"/>
      <c r="D23" s="228"/>
      <c r="E23" s="228"/>
      <c r="F23" s="229"/>
      <c r="G23" s="210"/>
      <c r="H23" s="210"/>
      <c r="I23" s="210"/>
      <c r="J23" s="230"/>
      <c r="K23" s="230"/>
      <c r="L23" s="453"/>
      <c r="M23" s="209"/>
      <c r="N23" s="209"/>
      <c r="O23" s="209"/>
      <c r="P23" s="209"/>
      <c r="Q23" s="209"/>
      <c r="R23" s="209"/>
    </row>
    <row r="24" spans="1:18" s="211" customFormat="1" ht="12.75">
      <c r="A24" s="212" t="s">
        <v>498</v>
      </c>
      <c r="B24" s="176" t="s">
        <v>92</v>
      </c>
      <c r="C24" s="213" t="s">
        <v>93</v>
      </c>
      <c r="D24" s="178"/>
      <c r="E24" s="179"/>
      <c r="F24" s="214">
        <v>250</v>
      </c>
      <c r="G24" s="182">
        <v>8.49</v>
      </c>
      <c r="H24" s="182">
        <v>14.95</v>
      </c>
      <c r="I24" s="181" t="s">
        <v>1022</v>
      </c>
      <c r="J24" s="215">
        <v>0.28499999999999998</v>
      </c>
      <c r="K24" s="215">
        <v>20</v>
      </c>
      <c r="L24" s="454">
        <v>6.1</v>
      </c>
      <c r="M24" s="215" t="s">
        <v>1023</v>
      </c>
      <c r="N24" s="215">
        <v>1.2E-2</v>
      </c>
      <c r="O24" s="215"/>
      <c r="P24" s="215"/>
      <c r="Q24" s="215"/>
      <c r="R24" s="215"/>
    </row>
    <row r="25" spans="1:18" s="211" customFormat="1" ht="12.75">
      <c r="A25" s="217" t="s">
        <v>499</v>
      </c>
      <c r="B25" s="187" t="s">
        <v>94</v>
      </c>
      <c r="C25" s="218" t="s">
        <v>95</v>
      </c>
      <c r="D25" s="189"/>
      <c r="E25" s="190"/>
      <c r="F25" s="219">
        <v>250</v>
      </c>
      <c r="G25" s="193">
        <v>8.49</v>
      </c>
      <c r="H25" s="193">
        <v>14.95</v>
      </c>
      <c r="I25" s="192" t="s">
        <v>1022</v>
      </c>
      <c r="J25" s="220">
        <v>0.28499999999999998</v>
      </c>
      <c r="K25" s="220">
        <v>20</v>
      </c>
      <c r="L25" s="455">
        <v>6.1</v>
      </c>
      <c r="M25" s="220" t="s">
        <v>1023</v>
      </c>
      <c r="N25" s="220">
        <v>1.2E-2</v>
      </c>
      <c r="O25" s="220"/>
      <c r="P25" s="220"/>
      <c r="Q25" s="220"/>
      <c r="R25" s="220"/>
    </row>
    <row r="26" spans="1:18" s="211" customFormat="1" ht="12.75">
      <c r="A26" s="217" t="s">
        <v>500</v>
      </c>
      <c r="B26" s="187" t="s">
        <v>96</v>
      </c>
      <c r="C26" s="218" t="s">
        <v>97</v>
      </c>
      <c r="D26" s="189"/>
      <c r="E26" s="190"/>
      <c r="F26" s="219">
        <v>250</v>
      </c>
      <c r="G26" s="193">
        <v>8.49</v>
      </c>
      <c r="H26" s="193">
        <v>14.95</v>
      </c>
      <c r="I26" s="192" t="s">
        <v>1022</v>
      </c>
      <c r="J26" s="220">
        <v>0.28499999999999998</v>
      </c>
      <c r="K26" s="220">
        <v>20</v>
      </c>
      <c r="L26" s="455">
        <v>6.1</v>
      </c>
      <c r="M26" s="220" t="s">
        <v>1023</v>
      </c>
      <c r="N26" s="220">
        <v>1.2E-2</v>
      </c>
      <c r="O26" s="220"/>
      <c r="P26" s="220"/>
      <c r="Q26" s="220"/>
      <c r="R26" s="220"/>
    </row>
    <row r="27" spans="1:18" s="211" customFormat="1" ht="12.75">
      <c r="A27" s="217" t="s">
        <v>501</v>
      </c>
      <c r="B27" s="187" t="s">
        <v>98</v>
      </c>
      <c r="C27" s="218" t="s">
        <v>99</v>
      </c>
      <c r="D27" s="189"/>
      <c r="E27" s="190"/>
      <c r="F27" s="219">
        <v>250</v>
      </c>
      <c r="G27" s="193">
        <v>8.49</v>
      </c>
      <c r="H27" s="193">
        <v>14.95</v>
      </c>
      <c r="I27" s="192" t="s">
        <v>1022</v>
      </c>
      <c r="J27" s="220">
        <v>0.28499999999999998</v>
      </c>
      <c r="K27" s="220">
        <v>20</v>
      </c>
      <c r="L27" s="455">
        <v>6.1</v>
      </c>
      <c r="M27" s="220" t="s">
        <v>1023</v>
      </c>
      <c r="N27" s="220">
        <v>1.2E-2</v>
      </c>
      <c r="O27" s="220"/>
      <c r="P27" s="220"/>
      <c r="Q27" s="220"/>
      <c r="R27" s="220"/>
    </row>
    <row r="28" spans="1:18" s="211" customFormat="1" ht="12.75">
      <c r="A28" s="222" t="s">
        <v>502</v>
      </c>
      <c r="B28" s="197" t="s">
        <v>100</v>
      </c>
      <c r="C28" s="223" t="s">
        <v>101</v>
      </c>
      <c r="D28" s="199"/>
      <c r="E28" s="200"/>
      <c r="F28" s="224">
        <v>250</v>
      </c>
      <c r="G28" s="203">
        <v>9.6300000000000008</v>
      </c>
      <c r="H28" s="203">
        <v>16.95</v>
      </c>
      <c r="I28" s="202" t="s">
        <v>1022</v>
      </c>
      <c r="J28" s="225">
        <v>0.26</v>
      </c>
      <c r="K28" s="225">
        <v>20</v>
      </c>
      <c r="L28" s="456">
        <v>5.7</v>
      </c>
      <c r="M28" s="225" t="s">
        <v>1023</v>
      </c>
      <c r="N28" s="225">
        <v>1.2E-2</v>
      </c>
      <c r="O28" s="225"/>
      <c r="P28" s="225"/>
      <c r="Q28" s="225"/>
      <c r="R28" s="225"/>
    </row>
    <row r="29" spans="1:18" s="211" customFormat="1" ht="12.75">
      <c r="A29" s="227"/>
      <c r="B29" s="207" t="s">
        <v>1061</v>
      </c>
      <c r="C29" s="228"/>
      <c r="D29" s="228"/>
      <c r="E29" s="228"/>
      <c r="F29" s="229"/>
      <c r="G29" s="210"/>
      <c r="H29" s="210"/>
      <c r="I29" s="210"/>
      <c r="J29" s="230"/>
      <c r="K29" s="230"/>
      <c r="L29" s="231"/>
      <c r="M29" s="209"/>
      <c r="N29" s="209"/>
      <c r="O29" s="209"/>
      <c r="P29" s="209"/>
      <c r="Q29" s="209"/>
      <c r="R29" s="209"/>
    </row>
    <row r="30" spans="1:18" s="211" customFormat="1" ht="12.75">
      <c r="A30" s="212" t="s">
        <v>503</v>
      </c>
      <c r="B30" s="176" t="s">
        <v>102</v>
      </c>
      <c r="C30" s="213" t="s">
        <v>103</v>
      </c>
      <c r="D30" s="178"/>
      <c r="E30" s="179"/>
      <c r="F30" s="214">
        <v>500</v>
      </c>
      <c r="G30" s="182">
        <v>9.6300000000000008</v>
      </c>
      <c r="H30" s="182">
        <v>16.95</v>
      </c>
      <c r="I30" s="181" t="s">
        <v>1024</v>
      </c>
      <c r="J30" s="215">
        <v>0.55000000000000004</v>
      </c>
      <c r="K30" s="215">
        <v>14</v>
      </c>
      <c r="L30" s="454">
        <v>8.1999999999999993</v>
      </c>
      <c r="M30" s="215" t="s">
        <v>1025</v>
      </c>
      <c r="N30" s="215">
        <v>1.6E-2</v>
      </c>
      <c r="O30" s="215"/>
      <c r="P30" s="215"/>
      <c r="Q30" s="215"/>
      <c r="R30" s="215"/>
    </row>
    <row r="31" spans="1:18" s="211" customFormat="1" ht="12.75">
      <c r="A31" s="217" t="s">
        <v>504</v>
      </c>
      <c r="B31" s="187" t="s">
        <v>104</v>
      </c>
      <c r="C31" s="218" t="s">
        <v>105</v>
      </c>
      <c r="D31" s="189"/>
      <c r="E31" s="190"/>
      <c r="F31" s="219">
        <v>500</v>
      </c>
      <c r="G31" s="193">
        <v>10.199999999999999</v>
      </c>
      <c r="H31" s="193">
        <v>17.95</v>
      </c>
      <c r="I31" s="192" t="s">
        <v>1024</v>
      </c>
      <c r="J31" s="220">
        <v>0.53</v>
      </c>
      <c r="K31" s="220">
        <v>14</v>
      </c>
      <c r="L31" s="455">
        <v>7.8</v>
      </c>
      <c r="M31" s="220" t="s">
        <v>1025</v>
      </c>
      <c r="N31" s="220">
        <v>1.6E-2</v>
      </c>
      <c r="O31" s="220"/>
      <c r="P31" s="220"/>
      <c r="Q31" s="220"/>
      <c r="R31" s="220"/>
    </row>
    <row r="32" spans="1:18" s="211" customFormat="1" ht="12.75">
      <c r="A32" s="217" t="s">
        <v>505</v>
      </c>
      <c r="B32" s="187" t="s">
        <v>106</v>
      </c>
      <c r="C32" s="218" t="s">
        <v>107</v>
      </c>
      <c r="D32" s="189"/>
      <c r="E32" s="190"/>
      <c r="F32" s="219">
        <v>500</v>
      </c>
      <c r="G32" s="193">
        <v>9.6300000000000008</v>
      </c>
      <c r="H32" s="193">
        <v>16.95</v>
      </c>
      <c r="I32" s="192" t="s">
        <v>1024</v>
      </c>
      <c r="J32" s="220">
        <v>0.55000000000000004</v>
      </c>
      <c r="K32" s="220">
        <v>14</v>
      </c>
      <c r="L32" s="455">
        <v>8.1999999999999993</v>
      </c>
      <c r="M32" s="220" t="s">
        <v>1025</v>
      </c>
      <c r="N32" s="220">
        <v>1.6E-2</v>
      </c>
      <c r="O32" s="220"/>
      <c r="P32" s="220"/>
      <c r="Q32" s="220"/>
      <c r="R32" s="220"/>
    </row>
    <row r="33" spans="1:18" s="211" customFormat="1" ht="12.75">
      <c r="A33" s="217" t="s">
        <v>506</v>
      </c>
      <c r="B33" s="187" t="s">
        <v>108</v>
      </c>
      <c r="C33" s="218" t="s">
        <v>109</v>
      </c>
      <c r="D33" s="189"/>
      <c r="E33" s="190"/>
      <c r="F33" s="219">
        <v>500</v>
      </c>
      <c r="G33" s="193">
        <v>11.34</v>
      </c>
      <c r="H33" s="193">
        <v>19.95</v>
      </c>
      <c r="I33" s="192" t="s">
        <v>1024</v>
      </c>
      <c r="J33" s="220">
        <v>0.53</v>
      </c>
      <c r="K33" s="220">
        <v>14</v>
      </c>
      <c r="L33" s="455">
        <v>7.8</v>
      </c>
      <c r="M33" s="220" t="s">
        <v>1025</v>
      </c>
      <c r="N33" s="220">
        <v>1.6E-2</v>
      </c>
      <c r="O33" s="220"/>
      <c r="P33" s="220"/>
      <c r="Q33" s="220"/>
      <c r="R33" s="220"/>
    </row>
    <row r="34" spans="1:18" s="211" customFormat="1" ht="12.75">
      <c r="A34" s="217" t="s">
        <v>507</v>
      </c>
      <c r="B34" s="187" t="s">
        <v>110</v>
      </c>
      <c r="C34" s="218" t="s">
        <v>111</v>
      </c>
      <c r="D34" s="189"/>
      <c r="E34" s="190"/>
      <c r="F34" s="219">
        <v>500</v>
      </c>
      <c r="G34" s="193">
        <v>9.6300000000000008</v>
      </c>
      <c r="H34" s="193">
        <v>16.95</v>
      </c>
      <c r="I34" s="192" t="s">
        <v>1024</v>
      </c>
      <c r="J34" s="220">
        <v>0.55000000000000004</v>
      </c>
      <c r="K34" s="220">
        <v>14</v>
      </c>
      <c r="L34" s="455">
        <v>8.1999999999999993</v>
      </c>
      <c r="M34" s="220" t="s">
        <v>1025</v>
      </c>
      <c r="N34" s="220">
        <v>1.6E-2</v>
      </c>
      <c r="O34" s="220"/>
      <c r="P34" s="220"/>
      <c r="Q34" s="220"/>
      <c r="R34" s="220"/>
    </row>
    <row r="35" spans="1:18" s="211" customFormat="1" ht="12.75">
      <c r="A35" s="217" t="s">
        <v>508</v>
      </c>
      <c r="B35" s="187" t="s">
        <v>112</v>
      </c>
      <c r="C35" s="218" t="s">
        <v>113</v>
      </c>
      <c r="D35" s="189"/>
      <c r="E35" s="190"/>
      <c r="F35" s="219">
        <v>500</v>
      </c>
      <c r="G35" s="193">
        <v>10.199999999999999</v>
      </c>
      <c r="H35" s="193">
        <v>17.95</v>
      </c>
      <c r="I35" s="192" t="s">
        <v>1024</v>
      </c>
      <c r="J35" s="220">
        <v>0.53</v>
      </c>
      <c r="K35" s="220">
        <v>14</v>
      </c>
      <c r="L35" s="455">
        <v>7.8</v>
      </c>
      <c r="M35" s="220" t="s">
        <v>1025</v>
      </c>
      <c r="N35" s="220">
        <v>1.6E-2</v>
      </c>
      <c r="O35" s="220"/>
      <c r="P35" s="220"/>
      <c r="Q35" s="220"/>
      <c r="R35" s="220"/>
    </row>
    <row r="36" spans="1:18" s="211" customFormat="1" ht="12.75">
      <c r="A36" s="217" t="s">
        <v>509</v>
      </c>
      <c r="B36" s="187" t="s">
        <v>114</v>
      </c>
      <c r="C36" s="218" t="s">
        <v>115</v>
      </c>
      <c r="D36" s="189"/>
      <c r="E36" s="190"/>
      <c r="F36" s="219">
        <v>500</v>
      </c>
      <c r="G36" s="193">
        <v>9.6300000000000008</v>
      </c>
      <c r="H36" s="193">
        <v>16.95</v>
      </c>
      <c r="I36" s="192" t="s">
        <v>1024</v>
      </c>
      <c r="J36" s="220">
        <v>0.55000000000000004</v>
      </c>
      <c r="K36" s="220">
        <v>14</v>
      </c>
      <c r="L36" s="455">
        <v>8.1999999999999993</v>
      </c>
      <c r="M36" s="220" t="s">
        <v>1025</v>
      </c>
      <c r="N36" s="220">
        <v>1.6E-2</v>
      </c>
      <c r="O36" s="220"/>
      <c r="P36" s="220"/>
      <c r="Q36" s="220"/>
      <c r="R36" s="220"/>
    </row>
    <row r="37" spans="1:18" s="211" customFormat="1" ht="12.75">
      <c r="A37" s="217" t="s">
        <v>510</v>
      </c>
      <c r="B37" s="187" t="s">
        <v>116</v>
      </c>
      <c r="C37" s="218" t="s">
        <v>117</v>
      </c>
      <c r="D37" s="189"/>
      <c r="E37" s="190"/>
      <c r="F37" s="219">
        <v>500</v>
      </c>
      <c r="G37" s="193">
        <v>11.34</v>
      </c>
      <c r="H37" s="193">
        <v>19.95</v>
      </c>
      <c r="I37" s="192" t="s">
        <v>1024</v>
      </c>
      <c r="J37" s="220">
        <v>0.53</v>
      </c>
      <c r="K37" s="220">
        <v>14</v>
      </c>
      <c r="L37" s="455">
        <v>7.8</v>
      </c>
      <c r="M37" s="220" t="s">
        <v>1025</v>
      </c>
      <c r="N37" s="220">
        <v>1.6E-2</v>
      </c>
      <c r="O37" s="220"/>
      <c r="P37" s="220"/>
      <c r="Q37" s="220"/>
      <c r="R37" s="220"/>
    </row>
    <row r="38" spans="1:18" s="211" customFormat="1" ht="12.75">
      <c r="A38" s="217" t="s">
        <v>511</v>
      </c>
      <c r="B38" s="187" t="s">
        <v>118</v>
      </c>
      <c r="C38" s="218" t="s">
        <v>119</v>
      </c>
      <c r="D38" s="189"/>
      <c r="E38" s="190"/>
      <c r="F38" s="219">
        <v>500</v>
      </c>
      <c r="G38" s="193">
        <v>9.6300000000000008</v>
      </c>
      <c r="H38" s="193">
        <v>16.95</v>
      </c>
      <c r="I38" s="192" t="s">
        <v>1024</v>
      </c>
      <c r="J38" s="220">
        <v>0.55000000000000004</v>
      </c>
      <c r="K38" s="220">
        <v>14</v>
      </c>
      <c r="L38" s="455">
        <v>8.1999999999999993</v>
      </c>
      <c r="M38" s="220" t="s">
        <v>1025</v>
      </c>
      <c r="N38" s="220">
        <v>1.6E-2</v>
      </c>
      <c r="O38" s="220"/>
      <c r="P38" s="220"/>
      <c r="Q38" s="220"/>
      <c r="R38" s="220"/>
    </row>
    <row r="39" spans="1:18" s="211" customFormat="1" ht="12.75">
      <c r="A39" s="217" t="s">
        <v>512</v>
      </c>
      <c r="B39" s="187" t="s">
        <v>120</v>
      </c>
      <c r="C39" s="218" t="s">
        <v>121</v>
      </c>
      <c r="D39" s="189"/>
      <c r="E39" s="190"/>
      <c r="F39" s="219">
        <v>500</v>
      </c>
      <c r="G39" s="193">
        <v>10.199999999999999</v>
      </c>
      <c r="H39" s="193">
        <v>17.95</v>
      </c>
      <c r="I39" s="192" t="s">
        <v>1024</v>
      </c>
      <c r="J39" s="220">
        <v>0.53</v>
      </c>
      <c r="K39" s="220">
        <v>14</v>
      </c>
      <c r="L39" s="455">
        <v>7.8</v>
      </c>
      <c r="M39" s="220" t="s">
        <v>1025</v>
      </c>
      <c r="N39" s="220">
        <v>1.6E-2</v>
      </c>
      <c r="O39" s="220"/>
      <c r="P39" s="220"/>
      <c r="Q39" s="220"/>
      <c r="R39" s="220"/>
    </row>
    <row r="40" spans="1:18" s="211" customFormat="1" ht="12.75">
      <c r="A40" s="217" t="s">
        <v>513</v>
      </c>
      <c r="B40" s="187" t="s">
        <v>122</v>
      </c>
      <c r="C40" s="218" t="s">
        <v>123</v>
      </c>
      <c r="D40" s="189"/>
      <c r="E40" s="190"/>
      <c r="F40" s="219">
        <v>500</v>
      </c>
      <c r="G40" s="193">
        <v>9.6300000000000008</v>
      </c>
      <c r="H40" s="193">
        <v>16.95</v>
      </c>
      <c r="I40" s="192" t="s">
        <v>1024</v>
      </c>
      <c r="J40" s="220">
        <v>0.55000000000000004</v>
      </c>
      <c r="K40" s="220">
        <v>14</v>
      </c>
      <c r="L40" s="455">
        <v>8.1999999999999993</v>
      </c>
      <c r="M40" s="220" t="s">
        <v>1025</v>
      </c>
      <c r="N40" s="220">
        <v>1.6E-2</v>
      </c>
      <c r="O40" s="220"/>
      <c r="P40" s="220"/>
      <c r="Q40" s="220"/>
      <c r="R40" s="220"/>
    </row>
    <row r="41" spans="1:18" s="211" customFormat="1" ht="12.75">
      <c r="A41" s="222" t="s">
        <v>514</v>
      </c>
      <c r="B41" s="197" t="s">
        <v>124</v>
      </c>
      <c r="C41" s="223" t="s">
        <v>125</v>
      </c>
      <c r="D41" s="199"/>
      <c r="E41" s="200"/>
      <c r="F41" s="224">
        <v>500</v>
      </c>
      <c r="G41" s="203">
        <v>10.199999999999999</v>
      </c>
      <c r="H41" s="203">
        <v>17.95</v>
      </c>
      <c r="I41" s="202" t="s">
        <v>1024</v>
      </c>
      <c r="J41" s="225">
        <v>0.53</v>
      </c>
      <c r="K41" s="225">
        <v>14</v>
      </c>
      <c r="L41" s="456">
        <v>7.8</v>
      </c>
      <c r="M41" s="225" t="s">
        <v>1025</v>
      </c>
      <c r="N41" s="205">
        <v>1.6E-2</v>
      </c>
      <c r="O41" s="225"/>
      <c r="P41" s="225"/>
      <c r="Q41" s="225"/>
      <c r="R41" s="225"/>
    </row>
    <row r="42" spans="1:18" s="211" customFormat="1" ht="12.75">
      <c r="A42" s="227"/>
      <c r="B42" s="207" t="s">
        <v>126</v>
      </c>
      <c r="C42" s="228"/>
      <c r="D42" s="228"/>
      <c r="E42" s="228"/>
      <c r="F42" s="229"/>
      <c r="G42" s="210"/>
      <c r="H42" s="210"/>
      <c r="I42" s="210"/>
      <c r="J42" s="230"/>
      <c r="K42" s="230"/>
      <c r="L42" s="231"/>
      <c r="M42" s="209"/>
      <c r="N42" s="209"/>
      <c r="O42" s="209"/>
      <c r="P42" s="209"/>
      <c r="Q42" s="209"/>
      <c r="R42" s="209"/>
    </row>
    <row r="43" spans="1:18" s="211" customFormat="1" ht="12.75">
      <c r="A43" s="212" t="s">
        <v>515</v>
      </c>
      <c r="B43" s="176" t="s">
        <v>77</v>
      </c>
      <c r="C43" s="213" t="s">
        <v>127</v>
      </c>
      <c r="D43" s="178"/>
      <c r="E43" s="179"/>
      <c r="F43" s="214">
        <v>120</v>
      </c>
      <c r="G43" s="182">
        <v>11.34</v>
      </c>
      <c r="H43" s="182">
        <v>19.95</v>
      </c>
      <c r="I43" s="181" t="s">
        <v>1026</v>
      </c>
      <c r="J43" s="215">
        <v>0.18</v>
      </c>
      <c r="K43" s="215">
        <v>20</v>
      </c>
      <c r="L43" s="216">
        <v>3.9</v>
      </c>
      <c r="M43" s="215" t="s">
        <v>1023</v>
      </c>
      <c r="N43" s="215">
        <v>1.2E-2</v>
      </c>
      <c r="O43" s="215"/>
      <c r="P43" s="215"/>
      <c r="Q43" s="215"/>
      <c r="R43" s="215"/>
    </row>
    <row r="44" spans="1:18" s="211" customFormat="1" ht="12.75">
      <c r="A44" s="217" t="s">
        <v>516</v>
      </c>
      <c r="B44" s="187" t="s">
        <v>128</v>
      </c>
      <c r="C44" s="218" t="s">
        <v>129</v>
      </c>
      <c r="D44" s="189"/>
      <c r="E44" s="190"/>
      <c r="F44" s="219">
        <v>120</v>
      </c>
      <c r="G44" s="193">
        <v>9.6300000000000008</v>
      </c>
      <c r="H44" s="193">
        <v>16.95</v>
      </c>
      <c r="I44" s="192" t="s">
        <v>1026</v>
      </c>
      <c r="J44" s="220">
        <v>0.18</v>
      </c>
      <c r="K44" s="220">
        <v>20</v>
      </c>
      <c r="L44" s="221">
        <v>3.9</v>
      </c>
      <c r="M44" s="220" t="s">
        <v>1023</v>
      </c>
      <c r="N44" s="220">
        <v>1.2E-2</v>
      </c>
      <c r="O44" s="220"/>
      <c r="P44" s="220"/>
      <c r="Q44" s="220"/>
      <c r="R44" s="220"/>
    </row>
    <row r="45" spans="1:18" s="211" customFormat="1" ht="12.75">
      <c r="A45" s="217"/>
      <c r="B45" s="187" t="s">
        <v>130</v>
      </c>
      <c r="C45" s="218" t="s">
        <v>131</v>
      </c>
      <c r="D45" s="189"/>
      <c r="E45" s="190"/>
      <c r="F45" s="219">
        <v>27000</v>
      </c>
      <c r="G45" s="193">
        <v>730.23</v>
      </c>
      <c r="H45" s="193"/>
      <c r="I45" s="192"/>
      <c r="J45" s="220">
        <v>34</v>
      </c>
      <c r="K45" s="220" t="s">
        <v>132</v>
      </c>
      <c r="L45" s="221">
        <v>38</v>
      </c>
      <c r="M45" s="220"/>
      <c r="N45" s="221">
        <v>0.1</v>
      </c>
      <c r="O45" s="220"/>
      <c r="P45" s="220"/>
      <c r="Q45" s="220"/>
      <c r="R45" s="220"/>
    </row>
    <row r="46" spans="1:18" s="211" customFormat="1" ht="12.75">
      <c r="A46" s="217"/>
      <c r="B46" s="187" t="s">
        <v>133</v>
      </c>
      <c r="C46" s="218" t="s">
        <v>134</v>
      </c>
      <c r="D46" s="189"/>
      <c r="E46" s="190"/>
      <c r="F46" s="219">
        <v>6000</v>
      </c>
      <c r="G46" s="193">
        <v>118.98</v>
      </c>
      <c r="H46" s="193"/>
      <c r="I46" s="192"/>
      <c r="J46" s="220">
        <v>6.48</v>
      </c>
      <c r="K46" s="220" t="s">
        <v>135</v>
      </c>
      <c r="L46" s="221">
        <v>6.78</v>
      </c>
      <c r="M46" s="220"/>
      <c r="N46" s="220">
        <v>2.4E-2</v>
      </c>
      <c r="O46" s="220"/>
      <c r="P46" s="220"/>
      <c r="Q46" s="220"/>
      <c r="R46" s="220"/>
    </row>
    <row r="47" spans="1:18" s="211" customFormat="1" ht="12.75">
      <c r="A47" s="217"/>
      <c r="B47" s="187" t="s">
        <v>136</v>
      </c>
      <c r="C47" s="218" t="s">
        <v>137</v>
      </c>
      <c r="D47" s="189"/>
      <c r="E47" s="190"/>
      <c r="F47" s="219">
        <v>5000</v>
      </c>
      <c r="G47" s="193">
        <v>204</v>
      </c>
      <c r="H47" s="193"/>
      <c r="I47" s="192"/>
      <c r="J47" s="220">
        <v>4.3600000000000003</v>
      </c>
      <c r="K47" s="220" t="s">
        <v>138</v>
      </c>
      <c r="L47" s="221">
        <v>5.75</v>
      </c>
      <c r="M47" s="220"/>
      <c r="N47" s="220">
        <v>2.4E-2</v>
      </c>
      <c r="O47" s="220"/>
      <c r="P47" s="220"/>
      <c r="Q47" s="220"/>
      <c r="R47" s="220"/>
    </row>
    <row r="48" spans="1:18" s="211" customFormat="1" ht="12.75">
      <c r="A48" s="222"/>
      <c r="B48" s="197" t="s">
        <v>139</v>
      </c>
      <c r="C48" s="223" t="s">
        <v>140</v>
      </c>
      <c r="D48" s="199"/>
      <c r="E48" s="200"/>
      <c r="F48" s="224">
        <v>5000</v>
      </c>
      <c r="G48" s="203">
        <v>174.36</v>
      </c>
      <c r="H48" s="203"/>
      <c r="I48" s="202"/>
      <c r="J48" s="225">
        <v>5.6</v>
      </c>
      <c r="K48" s="225" t="s">
        <v>138</v>
      </c>
      <c r="L48" s="226">
        <v>5.6</v>
      </c>
      <c r="M48" s="225"/>
      <c r="N48" s="225">
        <v>2.4E-2</v>
      </c>
      <c r="O48" s="225"/>
      <c r="P48" s="225"/>
      <c r="Q48" s="225"/>
      <c r="R48" s="225"/>
    </row>
    <row r="49" spans="1:18" s="234" customFormat="1" ht="12.75">
      <c r="A49" s="232"/>
      <c r="B49" s="233" t="s">
        <v>141</v>
      </c>
      <c r="C49" s="235"/>
      <c r="D49" s="235"/>
      <c r="E49" s="235"/>
      <c r="F49" s="243"/>
      <c r="G49" s="235"/>
      <c r="H49" s="235"/>
      <c r="I49" s="235"/>
      <c r="J49" s="244"/>
      <c r="K49" s="244"/>
      <c r="L49" s="244"/>
      <c r="M49" s="245"/>
      <c r="N49" s="245"/>
      <c r="O49" s="245"/>
      <c r="P49" s="245"/>
      <c r="Q49" s="245"/>
      <c r="R49" s="245"/>
    </row>
    <row r="50" spans="1:18" s="234" customFormat="1" ht="12.75">
      <c r="A50" s="187"/>
      <c r="B50" s="187" t="s">
        <v>142</v>
      </c>
      <c r="C50" s="218" t="s">
        <v>143</v>
      </c>
      <c r="D50" s="189"/>
      <c r="E50" s="190"/>
      <c r="F50" s="236" t="s">
        <v>144</v>
      </c>
      <c r="G50" s="338">
        <v>20</v>
      </c>
      <c r="H50" s="338"/>
      <c r="I50" s="338" t="s">
        <v>1027</v>
      </c>
      <c r="J50" s="339">
        <v>0.55000000000000004</v>
      </c>
      <c r="K50" s="339">
        <v>1</v>
      </c>
      <c r="L50" s="340">
        <v>0.8</v>
      </c>
      <c r="M50" s="339"/>
      <c r="N50" s="339">
        <v>2.4E-2</v>
      </c>
      <c r="O50" s="339"/>
      <c r="P50" s="339"/>
      <c r="Q50" s="339"/>
      <c r="R50" s="339"/>
    </row>
    <row r="51" spans="1:18" s="234" customFormat="1" ht="12.75">
      <c r="A51" s="197"/>
      <c r="B51" s="197" t="s">
        <v>149</v>
      </c>
      <c r="C51" s="223" t="s">
        <v>150</v>
      </c>
      <c r="D51" s="199"/>
      <c r="E51" s="200"/>
      <c r="F51" s="237" t="s">
        <v>151</v>
      </c>
      <c r="G51" s="203">
        <v>0.1</v>
      </c>
      <c r="H51" s="203"/>
      <c r="I51" s="203" t="s">
        <v>1028</v>
      </c>
      <c r="J51" s="225">
        <v>0.01</v>
      </c>
      <c r="K51" s="225">
        <v>1</v>
      </c>
      <c r="L51" s="226">
        <v>0.01</v>
      </c>
      <c r="M51" s="225"/>
      <c r="N51" s="225"/>
      <c r="O51" s="225"/>
      <c r="P51" s="225"/>
      <c r="Q51" s="225"/>
      <c r="R51" s="225"/>
    </row>
    <row r="52" spans="1:18" s="234" customFormat="1" ht="12.75">
      <c r="B52" s="207" t="s">
        <v>152</v>
      </c>
      <c r="F52" s="229"/>
      <c r="J52" s="230"/>
      <c r="K52" s="230"/>
      <c r="L52" s="230"/>
      <c r="M52" s="209"/>
      <c r="N52" s="209"/>
      <c r="O52" s="209"/>
      <c r="P52" s="209"/>
      <c r="Q52" s="209"/>
      <c r="R52" s="209"/>
    </row>
    <row r="53" spans="1:18" s="234" customFormat="1" ht="12.75">
      <c r="A53" s="217" t="s">
        <v>521</v>
      </c>
      <c r="B53" s="176" t="s">
        <v>153</v>
      </c>
      <c r="C53" s="213" t="s">
        <v>154</v>
      </c>
      <c r="D53" s="178"/>
      <c r="E53" s="179"/>
      <c r="F53" s="214">
        <v>30</v>
      </c>
      <c r="G53" s="182">
        <v>2</v>
      </c>
      <c r="H53" s="182">
        <v>4.5</v>
      </c>
      <c r="I53" s="181" t="s">
        <v>1029</v>
      </c>
      <c r="J53" s="215">
        <v>0.04</v>
      </c>
      <c r="K53" s="215">
        <v>168</v>
      </c>
      <c r="L53" s="216">
        <v>7</v>
      </c>
      <c r="M53" s="215" t="s">
        <v>1023</v>
      </c>
      <c r="N53" s="215">
        <v>1.2E-2</v>
      </c>
      <c r="O53" s="215"/>
      <c r="P53" s="215"/>
      <c r="Q53" s="215"/>
      <c r="R53" s="215"/>
    </row>
    <row r="54" spans="1:18" s="234" customFormat="1" ht="12.75">
      <c r="A54" s="217" t="s">
        <v>522</v>
      </c>
      <c r="B54" s="187" t="s">
        <v>155</v>
      </c>
      <c r="C54" s="218" t="s">
        <v>156</v>
      </c>
      <c r="D54" s="189"/>
      <c r="E54" s="190"/>
      <c r="F54" s="219">
        <v>30</v>
      </c>
      <c r="G54" s="193">
        <v>2</v>
      </c>
      <c r="H54" s="193">
        <v>4.5</v>
      </c>
      <c r="I54" s="192" t="s">
        <v>1029</v>
      </c>
      <c r="J54" s="220">
        <v>0.04</v>
      </c>
      <c r="K54" s="220">
        <v>168</v>
      </c>
      <c r="L54" s="221">
        <v>7</v>
      </c>
      <c r="M54" s="220" t="s">
        <v>1023</v>
      </c>
      <c r="N54" s="220">
        <v>1.2E-2</v>
      </c>
      <c r="O54" s="220"/>
      <c r="P54" s="220"/>
      <c r="Q54" s="220"/>
      <c r="R54" s="220"/>
    </row>
    <row r="55" spans="1:18" s="234" customFormat="1" ht="12.75">
      <c r="A55" s="217" t="s">
        <v>523</v>
      </c>
      <c r="B55" s="187" t="s">
        <v>157</v>
      </c>
      <c r="C55" s="218" t="s">
        <v>158</v>
      </c>
      <c r="D55" s="189"/>
      <c r="E55" s="190"/>
      <c r="F55" s="219">
        <v>30</v>
      </c>
      <c r="G55" s="193">
        <v>2</v>
      </c>
      <c r="H55" s="193">
        <v>4.5</v>
      </c>
      <c r="I55" s="192" t="s">
        <v>1029</v>
      </c>
      <c r="J55" s="220">
        <v>0.04</v>
      </c>
      <c r="K55" s="220">
        <v>168</v>
      </c>
      <c r="L55" s="221">
        <v>7</v>
      </c>
      <c r="M55" s="220" t="s">
        <v>1023</v>
      </c>
      <c r="N55" s="220">
        <v>1.2E-2</v>
      </c>
      <c r="O55" s="220"/>
      <c r="P55" s="220"/>
      <c r="Q55" s="220"/>
      <c r="R55" s="220"/>
    </row>
    <row r="56" spans="1:18" s="234" customFormat="1" ht="12.75">
      <c r="A56" s="217" t="s">
        <v>524</v>
      </c>
      <c r="B56" s="187" t="s">
        <v>159</v>
      </c>
      <c r="C56" s="218" t="s">
        <v>160</v>
      </c>
      <c r="D56" s="189"/>
      <c r="E56" s="190"/>
      <c r="F56" s="219">
        <v>30</v>
      </c>
      <c r="G56" s="193">
        <v>2</v>
      </c>
      <c r="H56" s="193">
        <v>4.5</v>
      </c>
      <c r="I56" s="192" t="s">
        <v>1029</v>
      </c>
      <c r="J56" s="220">
        <v>0.04</v>
      </c>
      <c r="K56" s="220">
        <v>168</v>
      </c>
      <c r="L56" s="221">
        <v>7</v>
      </c>
      <c r="M56" s="220" t="s">
        <v>1023</v>
      </c>
      <c r="N56" s="220">
        <v>1.2E-2</v>
      </c>
      <c r="O56" s="220"/>
      <c r="P56" s="220"/>
      <c r="Q56" s="220"/>
      <c r="R56" s="220"/>
    </row>
    <row r="57" spans="1:18" s="234" customFormat="1" ht="12.75">
      <c r="A57" s="217" t="s">
        <v>525</v>
      </c>
      <c r="B57" s="187" t="s">
        <v>161</v>
      </c>
      <c r="C57" s="218" t="s">
        <v>162</v>
      </c>
      <c r="D57" s="189"/>
      <c r="E57" s="190"/>
      <c r="F57" s="219">
        <v>30</v>
      </c>
      <c r="G57" s="193">
        <v>2</v>
      </c>
      <c r="H57" s="193">
        <v>4</v>
      </c>
      <c r="I57" s="192" t="s">
        <v>1029</v>
      </c>
      <c r="J57" s="220">
        <v>0.04</v>
      </c>
      <c r="K57" s="220">
        <v>168</v>
      </c>
      <c r="L57" s="221">
        <v>7</v>
      </c>
      <c r="M57" s="220" t="s">
        <v>1023</v>
      </c>
      <c r="N57" s="220">
        <v>1.2E-2</v>
      </c>
      <c r="O57" s="220"/>
      <c r="P57" s="220"/>
      <c r="Q57" s="220"/>
      <c r="R57" s="220"/>
    </row>
    <row r="58" spans="1:18" s="234" customFormat="1" ht="12.75">
      <c r="A58" s="217" t="s">
        <v>526</v>
      </c>
      <c r="B58" s="187" t="s">
        <v>163</v>
      </c>
      <c r="C58" s="218" t="s">
        <v>164</v>
      </c>
      <c r="D58" s="189"/>
      <c r="E58" s="190"/>
      <c r="F58" s="219">
        <v>30</v>
      </c>
      <c r="G58" s="193">
        <v>2</v>
      </c>
      <c r="H58" s="193">
        <v>4</v>
      </c>
      <c r="I58" s="192" t="s">
        <v>1029</v>
      </c>
      <c r="J58" s="220">
        <v>0.04</v>
      </c>
      <c r="K58" s="220">
        <v>168</v>
      </c>
      <c r="L58" s="221">
        <v>7</v>
      </c>
      <c r="M58" s="220" t="s">
        <v>1023</v>
      </c>
      <c r="N58" s="220">
        <v>1.2E-2</v>
      </c>
      <c r="O58" s="220"/>
      <c r="P58" s="220"/>
      <c r="Q58" s="220"/>
      <c r="R58" s="220"/>
    </row>
    <row r="59" spans="1:18" s="234" customFormat="1" ht="12.75">
      <c r="A59" s="217" t="s">
        <v>527</v>
      </c>
      <c r="B59" s="187" t="s">
        <v>165</v>
      </c>
      <c r="C59" s="218" t="s">
        <v>166</v>
      </c>
      <c r="D59" s="189"/>
      <c r="E59" s="190"/>
      <c r="F59" s="219">
        <v>30</v>
      </c>
      <c r="G59" s="193">
        <v>2</v>
      </c>
      <c r="H59" s="193">
        <v>4</v>
      </c>
      <c r="I59" s="192" t="s">
        <v>1029</v>
      </c>
      <c r="J59" s="220">
        <v>0.04</v>
      </c>
      <c r="K59" s="220">
        <v>168</v>
      </c>
      <c r="L59" s="221">
        <v>7</v>
      </c>
      <c r="M59" s="220" t="s">
        <v>1023</v>
      </c>
      <c r="N59" s="220">
        <v>1.2E-2</v>
      </c>
      <c r="O59" s="220"/>
      <c r="P59" s="220"/>
      <c r="Q59" s="220"/>
      <c r="R59" s="220"/>
    </row>
    <row r="60" spans="1:18" s="234" customFormat="1" ht="12.75">
      <c r="A60" s="217" t="s">
        <v>528</v>
      </c>
      <c r="B60" s="187" t="s">
        <v>167</v>
      </c>
      <c r="C60" s="218" t="s">
        <v>168</v>
      </c>
      <c r="D60" s="189"/>
      <c r="E60" s="190"/>
      <c r="F60" s="219">
        <v>30</v>
      </c>
      <c r="G60" s="193">
        <v>2</v>
      </c>
      <c r="H60" s="193">
        <v>4</v>
      </c>
      <c r="I60" s="192" t="s">
        <v>1029</v>
      </c>
      <c r="J60" s="220">
        <v>0.04</v>
      </c>
      <c r="K60" s="220">
        <v>168</v>
      </c>
      <c r="L60" s="221">
        <v>7</v>
      </c>
      <c r="M60" s="220" t="s">
        <v>1023</v>
      </c>
      <c r="N60" s="220">
        <v>1.2E-2</v>
      </c>
      <c r="O60" s="220"/>
      <c r="P60" s="220"/>
      <c r="Q60" s="220"/>
      <c r="R60" s="220"/>
    </row>
    <row r="61" spans="1:18" s="234" customFormat="1" ht="12.75">
      <c r="A61" s="217" t="s">
        <v>529</v>
      </c>
      <c r="B61" s="187" t="s">
        <v>169</v>
      </c>
      <c r="C61" s="218" t="s">
        <v>170</v>
      </c>
      <c r="D61" s="189"/>
      <c r="E61" s="190"/>
      <c r="F61" s="238">
        <v>30</v>
      </c>
      <c r="G61" s="193">
        <v>2</v>
      </c>
      <c r="H61" s="193">
        <v>4</v>
      </c>
      <c r="I61" s="192" t="s">
        <v>1029</v>
      </c>
      <c r="J61" s="220">
        <v>0.04</v>
      </c>
      <c r="K61" s="220">
        <v>168</v>
      </c>
      <c r="L61" s="221">
        <v>7</v>
      </c>
      <c r="M61" s="220" t="s">
        <v>1023</v>
      </c>
      <c r="N61" s="220">
        <v>1.2E-2</v>
      </c>
      <c r="O61" s="220"/>
      <c r="P61" s="220"/>
      <c r="Q61" s="220"/>
      <c r="R61" s="220"/>
    </row>
    <row r="62" spans="1:18" s="234" customFormat="1" ht="12.75">
      <c r="A62" s="217" t="s">
        <v>530</v>
      </c>
      <c r="B62" s="187" t="s">
        <v>171</v>
      </c>
      <c r="C62" s="218" t="s">
        <v>172</v>
      </c>
      <c r="D62" s="189"/>
      <c r="E62" s="190"/>
      <c r="F62" s="238">
        <v>30</v>
      </c>
      <c r="G62" s="193">
        <v>2</v>
      </c>
      <c r="H62" s="193">
        <v>4</v>
      </c>
      <c r="I62" s="192" t="s">
        <v>1029</v>
      </c>
      <c r="J62" s="220">
        <v>0.04</v>
      </c>
      <c r="K62" s="220">
        <v>168</v>
      </c>
      <c r="L62" s="221">
        <v>7</v>
      </c>
      <c r="M62" s="220" t="s">
        <v>1023</v>
      </c>
      <c r="N62" s="220">
        <v>1.2E-2</v>
      </c>
      <c r="O62" s="220"/>
      <c r="P62" s="220"/>
      <c r="Q62" s="220"/>
      <c r="R62" s="220"/>
    </row>
    <row r="63" spans="1:18" s="234" customFormat="1" ht="12.75">
      <c r="A63" s="222" t="s">
        <v>531</v>
      </c>
      <c r="B63" s="197" t="s">
        <v>173</v>
      </c>
      <c r="C63" s="223" t="s">
        <v>79</v>
      </c>
      <c r="D63" s="199"/>
      <c r="E63" s="200"/>
      <c r="F63" s="239">
        <v>30</v>
      </c>
      <c r="G63" s="203">
        <v>2</v>
      </c>
      <c r="H63" s="203">
        <v>4</v>
      </c>
      <c r="I63" s="202" t="s">
        <v>1029</v>
      </c>
      <c r="J63" s="225">
        <v>0.04</v>
      </c>
      <c r="K63" s="225">
        <v>168</v>
      </c>
      <c r="L63" s="240">
        <v>7</v>
      </c>
      <c r="M63" s="225" t="s">
        <v>1023</v>
      </c>
      <c r="N63" s="225">
        <v>1.2E-2</v>
      </c>
      <c r="O63" s="225"/>
      <c r="P63" s="225"/>
      <c r="Q63" s="225"/>
      <c r="R63" s="225"/>
    </row>
    <row r="64" spans="1:18" s="234" customFormat="1" ht="12.75">
      <c r="A64" s="186"/>
      <c r="B64" s="241" t="s">
        <v>1062</v>
      </c>
      <c r="C64" s="242"/>
      <c r="D64" s="242"/>
      <c r="E64" s="242"/>
      <c r="F64" s="243"/>
      <c r="G64" s="235"/>
      <c r="H64" s="235"/>
      <c r="I64" s="235"/>
      <c r="J64" s="244"/>
      <c r="K64" s="244"/>
      <c r="L64" s="244"/>
      <c r="M64" s="245"/>
      <c r="N64" s="245"/>
      <c r="O64" s="245"/>
      <c r="P64" s="245"/>
      <c r="Q64" s="245"/>
      <c r="R64" s="245"/>
    </row>
    <row r="65" spans="1:18" s="234" customFormat="1" ht="12.75">
      <c r="A65" s="212" t="s">
        <v>532</v>
      </c>
      <c r="B65" s="176" t="s">
        <v>174</v>
      </c>
      <c r="C65" s="213" t="s">
        <v>175</v>
      </c>
      <c r="D65" s="178"/>
      <c r="E65" s="179"/>
      <c r="F65" s="214">
        <v>200</v>
      </c>
      <c r="G65" s="182">
        <v>25.57</v>
      </c>
      <c r="H65" s="182">
        <v>45</v>
      </c>
      <c r="I65" s="182" t="s">
        <v>1030</v>
      </c>
      <c r="J65" s="215">
        <v>0.28499999999999998</v>
      </c>
      <c r="K65" s="215">
        <v>24</v>
      </c>
      <c r="L65" s="451">
        <v>7.14</v>
      </c>
      <c r="M65" s="215" t="s">
        <v>1025</v>
      </c>
      <c r="N65" s="215">
        <v>1.6E-2</v>
      </c>
      <c r="O65" s="215"/>
      <c r="P65" s="215"/>
      <c r="Q65" s="215"/>
      <c r="R65" s="215"/>
    </row>
    <row r="66" spans="1:18" s="211" customFormat="1" ht="12.75">
      <c r="A66" s="217" t="s">
        <v>533</v>
      </c>
      <c r="B66" s="187" t="s">
        <v>176</v>
      </c>
      <c r="C66" s="218" t="s">
        <v>177</v>
      </c>
      <c r="D66" s="189"/>
      <c r="E66" s="190"/>
      <c r="F66" s="219">
        <v>120</v>
      </c>
      <c r="G66" s="193">
        <v>25.57</v>
      </c>
      <c r="H66" s="193">
        <v>45</v>
      </c>
      <c r="I66" s="193" t="s">
        <v>1031</v>
      </c>
      <c r="J66" s="220">
        <v>0.3</v>
      </c>
      <c r="K66" s="220">
        <v>35</v>
      </c>
      <c r="L66" s="452">
        <v>10.5</v>
      </c>
      <c r="M66" s="220" t="s">
        <v>1023</v>
      </c>
      <c r="N66" s="220">
        <v>1.2E-2</v>
      </c>
      <c r="O66" s="220"/>
      <c r="P66" s="220"/>
      <c r="Q66" s="220"/>
      <c r="R66" s="220"/>
    </row>
    <row r="67" spans="1:18" s="211" customFormat="1" ht="12.75">
      <c r="A67" s="217" t="s">
        <v>1063</v>
      </c>
      <c r="B67" s="187" t="s">
        <v>178</v>
      </c>
      <c r="C67" s="218" t="s">
        <v>179</v>
      </c>
      <c r="D67" s="189"/>
      <c r="E67" s="190"/>
      <c r="F67" s="219">
        <v>100</v>
      </c>
      <c r="G67" s="193">
        <v>28.41</v>
      </c>
      <c r="H67" s="193">
        <v>50</v>
      </c>
      <c r="I67" s="193" t="s">
        <v>1032</v>
      </c>
      <c r="J67" s="220">
        <v>0.245</v>
      </c>
      <c r="K67" s="220">
        <v>35</v>
      </c>
      <c r="L67" s="452">
        <v>8.8800000000000008</v>
      </c>
      <c r="M67" s="220" t="s">
        <v>1023</v>
      </c>
      <c r="N67" s="220">
        <v>1.2E-2</v>
      </c>
      <c r="O67" s="220"/>
      <c r="P67" s="220"/>
      <c r="Q67" s="220"/>
      <c r="R67" s="220"/>
    </row>
    <row r="68" spans="1:18" s="211" customFormat="1" ht="12.75">
      <c r="A68" s="217" t="s">
        <v>534</v>
      </c>
      <c r="B68" s="187" t="s">
        <v>180</v>
      </c>
      <c r="C68" s="218" t="s">
        <v>181</v>
      </c>
      <c r="D68" s="189"/>
      <c r="E68" s="190"/>
      <c r="F68" s="219">
        <v>100</v>
      </c>
      <c r="G68" s="193">
        <v>31.25</v>
      </c>
      <c r="H68" s="193">
        <v>55</v>
      </c>
      <c r="I68" s="193" t="s">
        <v>1033</v>
      </c>
      <c r="J68" s="220">
        <v>0.23</v>
      </c>
      <c r="K68" s="220">
        <v>24</v>
      </c>
      <c r="L68" s="452">
        <v>5.8199999999999994</v>
      </c>
      <c r="M68" s="220" t="s">
        <v>1023</v>
      </c>
      <c r="N68" s="220">
        <v>1.2E-2</v>
      </c>
      <c r="O68" s="220"/>
      <c r="P68" s="220"/>
      <c r="Q68" s="220"/>
      <c r="R68" s="220"/>
    </row>
    <row r="69" spans="1:18" s="211" customFormat="1" ht="12.75">
      <c r="A69" s="217" t="s">
        <v>535</v>
      </c>
      <c r="B69" s="187" t="s">
        <v>182</v>
      </c>
      <c r="C69" s="218" t="s">
        <v>183</v>
      </c>
      <c r="D69" s="189"/>
      <c r="E69" s="190"/>
      <c r="F69" s="219">
        <v>30</v>
      </c>
      <c r="G69" s="193">
        <v>38.64</v>
      </c>
      <c r="H69" s="193">
        <v>68</v>
      </c>
      <c r="I69" s="193" t="s">
        <v>1034</v>
      </c>
      <c r="J69" s="220">
        <v>0.11</v>
      </c>
      <c r="K69" s="220">
        <v>56</v>
      </c>
      <c r="L69" s="452">
        <v>9.1000000000000014</v>
      </c>
      <c r="M69" s="220" t="s">
        <v>1023</v>
      </c>
      <c r="N69" s="220">
        <v>1.2E-2</v>
      </c>
      <c r="O69" s="220"/>
      <c r="P69" s="220"/>
      <c r="Q69" s="220"/>
      <c r="R69" s="220"/>
    </row>
    <row r="70" spans="1:18" s="211" customFormat="1" ht="12.75">
      <c r="A70" s="217" t="s">
        <v>536</v>
      </c>
      <c r="B70" s="187" t="s">
        <v>184</v>
      </c>
      <c r="C70" s="218" t="s">
        <v>185</v>
      </c>
      <c r="D70" s="189"/>
      <c r="E70" s="190"/>
      <c r="F70" s="219">
        <v>100</v>
      </c>
      <c r="G70" s="193">
        <v>96.59</v>
      </c>
      <c r="H70" s="193">
        <v>170</v>
      </c>
      <c r="I70" s="193" t="s">
        <v>1035</v>
      </c>
      <c r="J70" s="220">
        <v>0.245</v>
      </c>
      <c r="K70" s="220">
        <v>35</v>
      </c>
      <c r="L70" s="452">
        <v>8.8800000000000008</v>
      </c>
      <c r="M70" s="220" t="s">
        <v>1023</v>
      </c>
      <c r="N70" s="220">
        <v>1.2E-2</v>
      </c>
      <c r="O70" s="220"/>
      <c r="P70" s="220"/>
      <c r="Q70" s="220"/>
      <c r="R70" s="220"/>
    </row>
    <row r="71" spans="1:18" s="211" customFormat="1" ht="12.75">
      <c r="A71" s="217" t="s">
        <v>537</v>
      </c>
      <c r="B71" s="187" t="s">
        <v>186</v>
      </c>
      <c r="C71" s="218" t="s">
        <v>187</v>
      </c>
      <c r="D71" s="189"/>
      <c r="E71" s="190"/>
      <c r="F71" s="219">
        <v>80</v>
      </c>
      <c r="G71" s="193">
        <v>38.64</v>
      </c>
      <c r="H71" s="193">
        <v>68</v>
      </c>
      <c r="I71" s="193" t="s">
        <v>1036</v>
      </c>
      <c r="J71" s="220">
        <v>0.20499999999999999</v>
      </c>
      <c r="K71" s="220">
        <v>35</v>
      </c>
      <c r="L71" s="452">
        <v>7.48</v>
      </c>
      <c r="M71" s="220" t="s">
        <v>1023</v>
      </c>
      <c r="N71" s="220">
        <v>1.2E-2</v>
      </c>
      <c r="O71" s="220"/>
      <c r="P71" s="220"/>
      <c r="Q71" s="220"/>
      <c r="R71" s="220"/>
    </row>
    <row r="72" spans="1:18" s="211" customFormat="1" ht="12.75">
      <c r="A72" s="217" t="s">
        <v>538</v>
      </c>
      <c r="B72" s="187" t="s">
        <v>188</v>
      </c>
      <c r="C72" s="218" t="s">
        <v>189</v>
      </c>
      <c r="D72" s="189"/>
      <c r="E72" s="190"/>
      <c r="F72" s="219">
        <v>40</v>
      </c>
      <c r="G72" s="193">
        <v>38.64</v>
      </c>
      <c r="H72" s="193">
        <v>68</v>
      </c>
      <c r="I72" s="193" t="s">
        <v>1037</v>
      </c>
      <c r="J72" s="220">
        <v>0.14000000000000001</v>
      </c>
      <c r="K72" s="220">
        <v>45</v>
      </c>
      <c r="L72" s="452">
        <v>6.6</v>
      </c>
      <c r="M72" s="220" t="s">
        <v>1023</v>
      </c>
      <c r="N72" s="220">
        <v>1.2E-2</v>
      </c>
      <c r="O72" s="220"/>
      <c r="P72" s="220"/>
      <c r="Q72" s="220"/>
      <c r="R72" s="220"/>
    </row>
    <row r="73" spans="1:18" s="211" customFormat="1" ht="12.75">
      <c r="A73" s="217" t="s">
        <v>539</v>
      </c>
      <c r="B73" s="187" t="s">
        <v>190</v>
      </c>
      <c r="C73" s="218" t="s">
        <v>191</v>
      </c>
      <c r="D73" s="189"/>
      <c r="E73" s="190"/>
      <c r="F73" s="219">
        <v>30</v>
      </c>
      <c r="G73" s="193">
        <v>18.75</v>
      </c>
      <c r="H73" s="193">
        <v>33</v>
      </c>
      <c r="I73" s="193" t="s">
        <v>1034</v>
      </c>
      <c r="J73" s="220">
        <v>0.105</v>
      </c>
      <c r="K73" s="220">
        <v>56</v>
      </c>
      <c r="L73" s="452">
        <v>6.18</v>
      </c>
      <c r="M73" s="220" t="s">
        <v>1023</v>
      </c>
      <c r="N73" s="220">
        <v>1.2E-2</v>
      </c>
      <c r="O73" s="220"/>
      <c r="P73" s="220"/>
      <c r="Q73" s="220"/>
      <c r="R73" s="220"/>
    </row>
    <row r="74" spans="1:18" s="211" customFormat="1" ht="12.75">
      <c r="A74" s="217" t="s">
        <v>540</v>
      </c>
      <c r="B74" s="187" t="s">
        <v>192</v>
      </c>
      <c r="C74" s="218" t="s">
        <v>193</v>
      </c>
      <c r="D74" s="189"/>
      <c r="E74" s="190"/>
      <c r="F74" s="219">
        <v>30</v>
      </c>
      <c r="G74" s="193">
        <v>38.64</v>
      </c>
      <c r="H74" s="193">
        <v>68</v>
      </c>
      <c r="I74" s="193" t="s">
        <v>1034</v>
      </c>
      <c r="J74" s="220">
        <v>0.11</v>
      </c>
      <c r="K74" s="220">
        <v>56</v>
      </c>
      <c r="L74" s="452">
        <v>6.46</v>
      </c>
      <c r="M74" s="220" t="s">
        <v>1023</v>
      </c>
      <c r="N74" s="220">
        <v>1.2E-2</v>
      </c>
      <c r="O74" s="220"/>
      <c r="P74" s="220"/>
      <c r="Q74" s="220"/>
      <c r="R74" s="220"/>
    </row>
    <row r="75" spans="1:18" s="211" customFormat="1" ht="12.75">
      <c r="A75" s="217" t="s">
        <v>541</v>
      </c>
      <c r="B75" s="187" t="s">
        <v>194</v>
      </c>
      <c r="C75" s="218" t="s">
        <v>195</v>
      </c>
      <c r="D75" s="189"/>
      <c r="E75" s="190"/>
      <c r="F75" s="219">
        <v>15</v>
      </c>
      <c r="G75" s="193">
        <v>38.64</v>
      </c>
      <c r="H75" s="193">
        <v>68</v>
      </c>
      <c r="I75" s="193" t="s">
        <v>1038</v>
      </c>
      <c r="J75" s="220">
        <v>0.08</v>
      </c>
      <c r="K75" s="220">
        <v>72</v>
      </c>
      <c r="L75" s="452">
        <v>6.06</v>
      </c>
      <c r="M75" s="220" t="s">
        <v>1023</v>
      </c>
      <c r="N75" s="220">
        <v>1.2E-2</v>
      </c>
      <c r="O75" s="220"/>
      <c r="P75" s="220"/>
      <c r="Q75" s="220"/>
      <c r="R75" s="220"/>
    </row>
    <row r="76" spans="1:18" s="211" customFormat="1" ht="12.75">
      <c r="A76" s="217" t="s">
        <v>542</v>
      </c>
      <c r="B76" s="187" t="s">
        <v>196</v>
      </c>
      <c r="C76" s="218" t="s">
        <v>197</v>
      </c>
      <c r="D76" s="189"/>
      <c r="E76" s="190"/>
      <c r="F76" s="219">
        <v>15</v>
      </c>
      <c r="G76" s="193">
        <v>24.43</v>
      </c>
      <c r="H76" s="193">
        <v>43</v>
      </c>
      <c r="I76" s="193" t="s">
        <v>1038</v>
      </c>
      <c r="J76" s="220">
        <v>0.08</v>
      </c>
      <c r="K76" s="220">
        <v>72</v>
      </c>
      <c r="L76" s="452">
        <v>6.06</v>
      </c>
      <c r="M76" s="220" t="s">
        <v>1023</v>
      </c>
      <c r="N76" s="220">
        <v>1.2E-2</v>
      </c>
      <c r="O76" s="220"/>
      <c r="P76" s="220"/>
      <c r="Q76" s="220"/>
      <c r="R76" s="220"/>
    </row>
    <row r="77" spans="1:18" s="211" customFormat="1" ht="12.75">
      <c r="A77" s="217" t="s">
        <v>543</v>
      </c>
      <c r="B77" s="187" t="s">
        <v>198</v>
      </c>
      <c r="C77" s="218" t="s">
        <v>199</v>
      </c>
      <c r="D77" s="189"/>
      <c r="E77" s="190"/>
      <c r="F77" s="219">
        <v>100</v>
      </c>
      <c r="G77" s="193">
        <v>34.090000000000003</v>
      </c>
      <c r="H77" s="193">
        <v>60</v>
      </c>
      <c r="I77" s="193" t="s">
        <v>1039</v>
      </c>
      <c r="J77" s="220">
        <v>0.13</v>
      </c>
      <c r="K77" s="220">
        <v>30</v>
      </c>
      <c r="L77" s="452">
        <v>4.2</v>
      </c>
      <c r="M77" s="220" t="s">
        <v>1023</v>
      </c>
      <c r="N77" s="220">
        <v>1.2E-2</v>
      </c>
      <c r="O77" s="220"/>
      <c r="P77" s="220"/>
      <c r="Q77" s="220"/>
      <c r="R77" s="220"/>
    </row>
    <row r="78" spans="1:18" s="211" customFormat="1" ht="12.75">
      <c r="A78" s="217" t="s">
        <v>544</v>
      </c>
      <c r="B78" s="187" t="s">
        <v>200</v>
      </c>
      <c r="C78" s="218" t="s">
        <v>201</v>
      </c>
      <c r="D78" s="189"/>
      <c r="E78" s="190"/>
      <c r="F78" s="219">
        <v>40</v>
      </c>
      <c r="G78" s="193">
        <v>21.59</v>
      </c>
      <c r="H78" s="193">
        <v>38</v>
      </c>
      <c r="I78" s="193" t="s">
        <v>1040</v>
      </c>
      <c r="J78" s="220">
        <v>5.5E-2</v>
      </c>
      <c r="K78" s="220">
        <v>56</v>
      </c>
      <c r="L78" s="452">
        <v>3.38</v>
      </c>
      <c r="M78" s="220" t="s">
        <v>1023</v>
      </c>
      <c r="N78" s="220">
        <v>1.2E-2</v>
      </c>
      <c r="O78" s="220"/>
      <c r="P78" s="220"/>
      <c r="Q78" s="220"/>
      <c r="R78" s="220"/>
    </row>
    <row r="79" spans="1:18" s="211" customFormat="1" ht="12.75">
      <c r="A79" s="217" t="s">
        <v>1006</v>
      </c>
      <c r="B79" s="187" t="s">
        <v>202</v>
      </c>
      <c r="C79" s="218" t="s">
        <v>203</v>
      </c>
      <c r="D79" s="189"/>
      <c r="E79" s="190"/>
      <c r="F79" s="219">
        <v>3</v>
      </c>
      <c r="G79" s="193">
        <v>1.1000000000000001</v>
      </c>
      <c r="H79" s="193">
        <v>5</v>
      </c>
      <c r="I79" s="193" t="s">
        <v>1041</v>
      </c>
      <c r="J79" s="220">
        <v>4.4000000000000003E-3</v>
      </c>
      <c r="K79" s="220">
        <v>500</v>
      </c>
      <c r="L79" s="452">
        <v>2.5</v>
      </c>
      <c r="M79" s="220" t="s">
        <v>1023</v>
      </c>
      <c r="N79" s="220">
        <v>1.2E-2</v>
      </c>
      <c r="O79" s="220"/>
      <c r="P79" s="220"/>
      <c r="Q79" s="220"/>
      <c r="R79" s="220"/>
    </row>
    <row r="80" spans="1:18" s="234" customFormat="1" ht="12.75">
      <c r="A80" s="217" t="s">
        <v>545</v>
      </c>
      <c r="B80" s="187" t="s">
        <v>204</v>
      </c>
      <c r="C80" s="218" t="s">
        <v>205</v>
      </c>
      <c r="D80" s="189"/>
      <c r="E80" s="190"/>
      <c r="F80" s="219" t="s">
        <v>206</v>
      </c>
      <c r="G80" s="193">
        <v>14.2</v>
      </c>
      <c r="H80" s="193">
        <v>25</v>
      </c>
      <c r="I80" s="193" t="s">
        <v>1042</v>
      </c>
      <c r="J80" s="220">
        <v>1.8499999999999999E-2</v>
      </c>
      <c r="K80" s="220">
        <v>100</v>
      </c>
      <c r="L80" s="452">
        <v>2.15</v>
      </c>
      <c r="M80" s="220" t="s">
        <v>1023</v>
      </c>
      <c r="N80" s="220">
        <v>1.2E-2</v>
      </c>
      <c r="O80" s="220"/>
      <c r="P80" s="220"/>
      <c r="Q80" s="220"/>
      <c r="R80" s="220"/>
    </row>
    <row r="81" spans="1:18" s="211" customFormat="1" ht="12.75">
      <c r="A81" s="187"/>
      <c r="B81" s="187" t="s">
        <v>207</v>
      </c>
      <c r="C81" s="218" t="s">
        <v>208</v>
      </c>
      <c r="D81" s="189"/>
      <c r="E81" s="190"/>
      <c r="F81" s="219">
        <v>5</v>
      </c>
      <c r="G81" s="331"/>
      <c r="H81" s="193"/>
      <c r="I81" s="192" t="s">
        <v>1043</v>
      </c>
      <c r="J81" s="220"/>
      <c r="K81" s="220"/>
      <c r="L81" s="220"/>
      <c r="M81" s="220"/>
      <c r="N81" s="220"/>
      <c r="O81" s="220"/>
      <c r="P81" s="220"/>
      <c r="Q81" s="220"/>
      <c r="R81" s="220"/>
    </row>
    <row r="82" spans="1:18" s="211" customFormat="1" ht="12.75">
      <c r="A82" s="187"/>
      <c r="B82" s="187" t="s">
        <v>209</v>
      </c>
      <c r="C82" s="246" t="s">
        <v>210</v>
      </c>
      <c r="D82" s="247"/>
      <c r="E82" s="248"/>
      <c r="F82" s="238">
        <v>5</v>
      </c>
      <c r="G82" s="331"/>
      <c r="H82" s="193"/>
      <c r="I82" s="192" t="s">
        <v>1043</v>
      </c>
      <c r="J82" s="220"/>
      <c r="K82" s="220"/>
      <c r="L82" s="220"/>
      <c r="M82" s="220"/>
      <c r="N82" s="220"/>
      <c r="O82" s="220"/>
      <c r="P82" s="220"/>
      <c r="Q82" s="220"/>
      <c r="R82" s="220"/>
    </row>
    <row r="83" spans="1:18" s="211" customFormat="1" ht="12.75">
      <c r="A83" s="197"/>
      <c r="B83" s="197" t="s">
        <v>211</v>
      </c>
      <c r="C83" s="223" t="s">
        <v>212</v>
      </c>
      <c r="D83" s="199"/>
      <c r="E83" s="200"/>
      <c r="F83" s="224">
        <v>5</v>
      </c>
      <c r="G83" s="332"/>
      <c r="H83" s="203"/>
      <c r="I83" s="202" t="s">
        <v>1043</v>
      </c>
      <c r="J83" s="225"/>
      <c r="K83" s="225"/>
      <c r="L83" s="225"/>
      <c r="M83" s="225"/>
      <c r="N83" s="225"/>
      <c r="O83" s="225"/>
      <c r="P83" s="225"/>
      <c r="Q83" s="225"/>
      <c r="R83" s="225"/>
    </row>
    <row r="84" spans="1:18" s="211" customFormat="1" ht="12.75">
      <c r="A84" s="249"/>
      <c r="B84" s="207" t="s">
        <v>213</v>
      </c>
      <c r="C84" s="234"/>
      <c r="D84" s="234"/>
      <c r="E84" s="234"/>
    </row>
    <row r="85" spans="1:18" s="211" customFormat="1" ht="12.75">
      <c r="A85" s="212" t="s">
        <v>546</v>
      </c>
      <c r="B85" s="176" t="s">
        <v>214</v>
      </c>
      <c r="C85" s="213" t="s">
        <v>215</v>
      </c>
      <c r="D85" s="178"/>
      <c r="E85" s="179"/>
      <c r="F85" s="214">
        <v>50</v>
      </c>
      <c r="G85" s="182">
        <v>146.59</v>
      </c>
      <c r="H85" s="182">
        <v>258</v>
      </c>
      <c r="I85" s="250" t="s">
        <v>1044</v>
      </c>
      <c r="J85" s="251">
        <v>0.25</v>
      </c>
      <c r="K85" s="252">
        <v>48</v>
      </c>
      <c r="L85" s="252">
        <v>13.5</v>
      </c>
      <c r="M85" s="253" t="s">
        <v>1045</v>
      </c>
      <c r="N85" s="252">
        <v>2.4E-2</v>
      </c>
      <c r="O85" s="252">
        <v>6</v>
      </c>
      <c r="P85" s="252">
        <v>1.6</v>
      </c>
      <c r="Q85" s="252" t="s">
        <v>1046</v>
      </c>
      <c r="R85" s="252">
        <v>1.8E-3</v>
      </c>
    </row>
    <row r="86" spans="1:18" s="211" customFormat="1" ht="12.75">
      <c r="A86" s="217" t="s">
        <v>547</v>
      </c>
      <c r="B86" s="187" t="s">
        <v>216</v>
      </c>
      <c r="C86" s="218" t="s">
        <v>217</v>
      </c>
      <c r="D86" s="189"/>
      <c r="E86" s="190"/>
      <c r="F86" s="219">
        <v>50</v>
      </c>
      <c r="G86" s="193">
        <v>106.82</v>
      </c>
      <c r="H86" s="193">
        <v>188</v>
      </c>
      <c r="I86" s="254" t="s">
        <v>1044</v>
      </c>
      <c r="J86" s="255">
        <v>0.26</v>
      </c>
      <c r="K86" s="256">
        <v>48</v>
      </c>
      <c r="L86" s="256">
        <v>14.3</v>
      </c>
      <c r="M86" s="257" t="s">
        <v>1045</v>
      </c>
      <c r="N86" s="256">
        <v>2.4E-2</v>
      </c>
      <c r="O86" s="256">
        <v>6</v>
      </c>
      <c r="P86" s="256">
        <v>1.7</v>
      </c>
      <c r="Q86" s="256" t="s">
        <v>1047</v>
      </c>
      <c r="R86" s="256">
        <v>2E-3</v>
      </c>
    </row>
    <row r="87" spans="1:18" s="211" customFormat="1" ht="12.75">
      <c r="A87" s="217" t="s">
        <v>548</v>
      </c>
      <c r="B87" s="187" t="s">
        <v>218</v>
      </c>
      <c r="C87" s="218" t="s">
        <v>219</v>
      </c>
      <c r="D87" s="189"/>
      <c r="E87" s="190"/>
      <c r="F87" s="219">
        <v>50</v>
      </c>
      <c r="G87" s="193">
        <v>106.82</v>
      </c>
      <c r="H87" s="193">
        <v>188</v>
      </c>
      <c r="I87" s="254" t="s">
        <v>1048</v>
      </c>
      <c r="J87" s="255">
        <v>0.25</v>
      </c>
      <c r="K87" s="256">
        <v>48</v>
      </c>
      <c r="L87" s="256">
        <v>13.5</v>
      </c>
      <c r="M87" s="257" t="s">
        <v>1045</v>
      </c>
      <c r="N87" s="256">
        <v>2.4E-2</v>
      </c>
      <c r="O87" s="256">
        <v>6</v>
      </c>
      <c r="P87" s="256">
        <v>1.6</v>
      </c>
      <c r="Q87" s="256" t="s">
        <v>1046</v>
      </c>
      <c r="R87" s="256">
        <v>1.8E-3</v>
      </c>
    </row>
    <row r="88" spans="1:18" s="211" customFormat="1" ht="12.75">
      <c r="A88" s="217" t="s">
        <v>549</v>
      </c>
      <c r="B88" s="187" t="s">
        <v>220</v>
      </c>
      <c r="C88" s="218" t="s">
        <v>221</v>
      </c>
      <c r="D88" s="189"/>
      <c r="E88" s="190"/>
      <c r="F88" s="219">
        <v>50</v>
      </c>
      <c r="G88" s="193">
        <v>89.77</v>
      </c>
      <c r="H88" s="193">
        <v>158</v>
      </c>
      <c r="I88" s="254" t="s">
        <v>1048</v>
      </c>
      <c r="J88" s="255">
        <v>0.26</v>
      </c>
      <c r="K88" s="256">
        <v>48</v>
      </c>
      <c r="L88" s="256">
        <v>14.3</v>
      </c>
      <c r="M88" s="257" t="s">
        <v>1045</v>
      </c>
      <c r="N88" s="256">
        <v>2.4E-2</v>
      </c>
      <c r="O88" s="256">
        <v>6</v>
      </c>
      <c r="P88" s="256">
        <v>1.7</v>
      </c>
      <c r="Q88" s="256" t="s">
        <v>1047</v>
      </c>
      <c r="R88" s="256">
        <v>2E-3</v>
      </c>
    </row>
    <row r="89" spans="1:18" s="211" customFormat="1" ht="12.75">
      <c r="A89" s="217" t="s">
        <v>550</v>
      </c>
      <c r="B89" s="187" t="s">
        <v>222</v>
      </c>
      <c r="C89" s="218" t="s">
        <v>223</v>
      </c>
      <c r="D89" s="189"/>
      <c r="E89" s="190"/>
      <c r="F89" s="219">
        <v>4</v>
      </c>
      <c r="G89" s="193">
        <v>12.5</v>
      </c>
      <c r="H89" s="193">
        <v>22</v>
      </c>
      <c r="I89" s="254" t="s">
        <v>1049</v>
      </c>
      <c r="J89" s="255">
        <v>0.01</v>
      </c>
      <c r="K89" s="256">
        <v>96</v>
      </c>
      <c r="L89" s="256">
        <v>2.7</v>
      </c>
      <c r="M89" s="257" t="s">
        <v>1045</v>
      </c>
      <c r="N89" s="256">
        <v>2.4E-2</v>
      </c>
      <c r="O89" s="256">
        <v>12</v>
      </c>
      <c r="P89" s="256">
        <v>0.25</v>
      </c>
      <c r="Q89" s="256" t="s">
        <v>1047</v>
      </c>
      <c r="R89" s="256">
        <v>2E-3</v>
      </c>
    </row>
    <row r="90" spans="1:18" s="211" customFormat="1" ht="12.75">
      <c r="A90" s="222" t="s">
        <v>551</v>
      </c>
      <c r="B90" s="197" t="s">
        <v>224</v>
      </c>
      <c r="C90" s="223" t="s">
        <v>225</v>
      </c>
      <c r="D90" s="199"/>
      <c r="E90" s="200"/>
      <c r="F90" s="224">
        <v>4</v>
      </c>
      <c r="G90" s="203">
        <v>11.36</v>
      </c>
      <c r="H90" s="203">
        <v>20</v>
      </c>
      <c r="I90" s="258" t="s">
        <v>1049</v>
      </c>
      <c r="J90" s="259">
        <v>0.01</v>
      </c>
      <c r="K90" s="260">
        <v>96</v>
      </c>
      <c r="L90" s="260">
        <v>2.7</v>
      </c>
      <c r="M90" s="261" t="s">
        <v>1045</v>
      </c>
      <c r="N90" s="260">
        <v>2.4E-2</v>
      </c>
      <c r="O90" s="260">
        <v>12</v>
      </c>
      <c r="P90" s="260">
        <v>0.25</v>
      </c>
      <c r="Q90" s="260" t="s">
        <v>1047</v>
      </c>
      <c r="R90" s="260">
        <v>2E-3</v>
      </c>
    </row>
    <row r="91" spans="1:18" s="211" customFormat="1" ht="14.25">
      <c r="A91" s="273"/>
      <c r="B91" s="241" t="s">
        <v>1065</v>
      </c>
      <c r="C91" s="262"/>
      <c r="D91" s="262"/>
      <c r="E91" s="262"/>
      <c r="F91" s="329"/>
      <c r="G91" s="330"/>
      <c r="H91" s="330"/>
      <c r="I91" s="330"/>
      <c r="J91" s="263"/>
      <c r="K91" s="263"/>
      <c r="L91" s="263"/>
      <c r="M91" s="264"/>
      <c r="N91" s="264"/>
      <c r="O91" s="264"/>
      <c r="P91" s="264"/>
      <c r="Q91" s="264"/>
      <c r="R91" s="264"/>
    </row>
    <row r="92" spans="1:18" s="265" customFormat="1" ht="12.75">
      <c r="A92" s="275" t="s">
        <v>1302</v>
      </c>
      <c r="B92" s="275" t="s">
        <v>1303</v>
      </c>
      <c r="C92" s="266" t="s">
        <v>1304</v>
      </c>
      <c r="D92" s="189"/>
      <c r="E92" s="190"/>
      <c r="F92" s="323">
        <v>5</v>
      </c>
      <c r="G92" s="341">
        <v>9.16</v>
      </c>
      <c r="H92" s="341">
        <v>16.12</v>
      </c>
      <c r="I92" s="323" t="s">
        <v>1050</v>
      </c>
      <c r="J92" s="327">
        <v>3.1E-2</v>
      </c>
      <c r="K92" s="267">
        <v>140</v>
      </c>
      <c r="L92" s="267">
        <v>4.6700000000000008</v>
      </c>
      <c r="M92" s="268" t="s">
        <v>1023</v>
      </c>
      <c r="N92" s="267">
        <v>1.2E-2</v>
      </c>
      <c r="O92" s="269">
        <v>35</v>
      </c>
      <c r="P92" s="270">
        <v>1.1200000000000001</v>
      </c>
      <c r="Q92" s="270" t="s">
        <v>1051</v>
      </c>
      <c r="R92" s="269">
        <v>2.2000000000000001E-3</v>
      </c>
    </row>
    <row r="93" spans="1:18" s="265" customFormat="1" ht="12.75">
      <c r="A93" s="217" t="s">
        <v>1305</v>
      </c>
      <c r="B93" s="217" t="s">
        <v>1306</v>
      </c>
      <c r="C93" s="266" t="s">
        <v>1307</v>
      </c>
      <c r="D93" s="189"/>
      <c r="E93" s="190"/>
      <c r="F93" s="323">
        <v>10</v>
      </c>
      <c r="G93" s="341">
        <v>10.98</v>
      </c>
      <c r="H93" s="341">
        <v>19.32</v>
      </c>
      <c r="I93" s="323" t="s">
        <v>1052</v>
      </c>
      <c r="J93" s="327">
        <v>4.3999999999999997E-2</v>
      </c>
      <c r="K93" s="267">
        <v>140</v>
      </c>
      <c r="L93" s="267">
        <v>6.3500000000000005</v>
      </c>
      <c r="M93" s="268" t="s">
        <v>1023</v>
      </c>
      <c r="N93" s="267">
        <v>1.2E-2</v>
      </c>
      <c r="O93" s="269">
        <v>35</v>
      </c>
      <c r="P93" s="270">
        <v>1.54</v>
      </c>
      <c r="Q93" s="270" t="s">
        <v>1053</v>
      </c>
      <c r="R93" s="269">
        <v>2.2000000000000001E-3</v>
      </c>
    </row>
    <row r="94" spans="1:18" s="265" customFormat="1" ht="12.75">
      <c r="A94" s="358" t="s">
        <v>553</v>
      </c>
      <c r="B94" s="358" t="s">
        <v>554</v>
      </c>
      <c r="C94" s="357" t="s">
        <v>552</v>
      </c>
      <c r="D94" s="359"/>
      <c r="E94" s="360"/>
      <c r="F94" s="361">
        <v>5</v>
      </c>
      <c r="G94" s="362">
        <v>11.34</v>
      </c>
      <c r="H94" s="362">
        <v>19.95</v>
      </c>
      <c r="I94" s="361" t="s">
        <v>1050</v>
      </c>
      <c r="J94" s="363">
        <v>3.1E-2</v>
      </c>
      <c r="K94" s="364">
        <v>140</v>
      </c>
      <c r="L94" s="364">
        <v>4.6700000000000008</v>
      </c>
      <c r="M94" s="365" t="s">
        <v>1023</v>
      </c>
      <c r="N94" s="364">
        <v>1.2E-2</v>
      </c>
      <c r="O94" s="364">
        <v>35</v>
      </c>
      <c r="P94" s="365">
        <v>1.1200000000000001</v>
      </c>
      <c r="Q94" s="365" t="s">
        <v>1051</v>
      </c>
      <c r="R94" s="364">
        <v>2.2000000000000001E-3</v>
      </c>
    </row>
    <row r="95" spans="1:18" s="265" customFormat="1" ht="12.75">
      <c r="A95" s="358" t="s">
        <v>555</v>
      </c>
      <c r="B95" s="358" t="s">
        <v>556</v>
      </c>
      <c r="C95" s="357" t="s">
        <v>0</v>
      </c>
      <c r="D95" s="359"/>
      <c r="E95" s="360"/>
      <c r="F95" s="361">
        <v>10</v>
      </c>
      <c r="G95" s="362">
        <v>17.02</v>
      </c>
      <c r="H95" s="362">
        <v>29.95</v>
      </c>
      <c r="I95" s="361" t="s">
        <v>1052</v>
      </c>
      <c r="J95" s="363">
        <v>4.3999999999999997E-2</v>
      </c>
      <c r="K95" s="364">
        <v>140</v>
      </c>
      <c r="L95" s="364">
        <v>6.3500000000000005</v>
      </c>
      <c r="M95" s="365" t="s">
        <v>1023</v>
      </c>
      <c r="N95" s="364">
        <v>1.2E-2</v>
      </c>
      <c r="O95" s="364">
        <v>35</v>
      </c>
      <c r="P95" s="365">
        <v>1.54</v>
      </c>
      <c r="Q95" s="365" t="s">
        <v>1053</v>
      </c>
      <c r="R95" s="364">
        <v>2.2000000000000001E-3</v>
      </c>
    </row>
    <row r="96" spans="1:18" s="265" customFormat="1" ht="12.75">
      <c r="A96" s="358" t="s">
        <v>557</v>
      </c>
      <c r="B96" s="358" t="s">
        <v>558</v>
      </c>
      <c r="C96" s="357" t="s">
        <v>559</v>
      </c>
      <c r="D96" s="359"/>
      <c r="E96" s="360"/>
      <c r="F96" s="361">
        <v>30</v>
      </c>
      <c r="G96" s="362">
        <v>34.06</v>
      </c>
      <c r="H96" s="362">
        <v>59.95</v>
      </c>
      <c r="I96" s="361" t="s">
        <v>1054</v>
      </c>
      <c r="J96" s="363">
        <v>8.4000000000000005E-2</v>
      </c>
      <c r="K96" s="364">
        <v>90</v>
      </c>
      <c r="L96" s="364">
        <v>8.31</v>
      </c>
      <c r="M96" s="365" t="s">
        <v>1021</v>
      </c>
      <c r="N96" s="364">
        <v>1.4E-2</v>
      </c>
      <c r="O96" s="364">
        <v>15</v>
      </c>
      <c r="P96" s="365">
        <v>1.34</v>
      </c>
      <c r="Q96" s="365" t="s">
        <v>1055</v>
      </c>
      <c r="R96" s="364">
        <v>2E-3</v>
      </c>
    </row>
    <row r="97" spans="1:18" s="265" customFormat="1" ht="12.75">
      <c r="A97" s="217" t="s">
        <v>560</v>
      </c>
      <c r="B97" s="217" t="s">
        <v>561</v>
      </c>
      <c r="C97" s="266" t="s">
        <v>562</v>
      </c>
      <c r="D97" s="189"/>
      <c r="E97" s="190"/>
      <c r="F97" s="323">
        <v>5</v>
      </c>
      <c r="G97" s="341">
        <v>9.6300000000000008</v>
      </c>
      <c r="H97" s="341">
        <v>16.95</v>
      </c>
      <c r="I97" s="323" t="s">
        <v>1050</v>
      </c>
      <c r="J97" s="327">
        <v>3.1E-2</v>
      </c>
      <c r="K97" s="267">
        <v>140</v>
      </c>
      <c r="L97" s="267">
        <v>4.6700000000000008</v>
      </c>
      <c r="M97" s="268" t="s">
        <v>1023</v>
      </c>
      <c r="N97" s="267">
        <v>1.2E-2</v>
      </c>
      <c r="O97" s="269">
        <v>35</v>
      </c>
      <c r="P97" s="270">
        <v>1.1200000000000001</v>
      </c>
      <c r="Q97" s="270" t="s">
        <v>1051</v>
      </c>
      <c r="R97" s="269">
        <v>2.2000000000000001E-3</v>
      </c>
    </row>
    <row r="98" spans="1:18" s="265" customFormat="1" ht="12.75">
      <c r="A98" s="217" t="s">
        <v>563</v>
      </c>
      <c r="B98" s="217" t="s">
        <v>231</v>
      </c>
      <c r="C98" s="266" t="s">
        <v>1</v>
      </c>
      <c r="D98" s="189"/>
      <c r="E98" s="190"/>
      <c r="F98" s="323">
        <v>10</v>
      </c>
      <c r="G98" s="341">
        <v>17.02</v>
      </c>
      <c r="H98" s="341">
        <v>29.95</v>
      </c>
      <c r="I98" s="323" t="s">
        <v>1052</v>
      </c>
      <c r="J98" s="327">
        <v>4.3999999999999997E-2</v>
      </c>
      <c r="K98" s="267">
        <v>140</v>
      </c>
      <c r="L98" s="267">
        <v>6.3500000000000005</v>
      </c>
      <c r="M98" s="268" t="s">
        <v>1023</v>
      </c>
      <c r="N98" s="267">
        <v>1.2E-2</v>
      </c>
      <c r="O98" s="269">
        <v>35</v>
      </c>
      <c r="P98" s="270">
        <v>1.54</v>
      </c>
      <c r="Q98" s="270" t="s">
        <v>1053</v>
      </c>
      <c r="R98" s="269">
        <v>2.2000000000000001E-3</v>
      </c>
    </row>
    <row r="99" spans="1:18" s="265" customFormat="1" ht="12.75">
      <c r="A99" s="217" t="s">
        <v>564</v>
      </c>
      <c r="B99" s="217" t="s">
        <v>565</v>
      </c>
      <c r="C99" s="266" t="s">
        <v>566</v>
      </c>
      <c r="D99" s="189"/>
      <c r="E99" s="190"/>
      <c r="F99" s="323">
        <v>30</v>
      </c>
      <c r="G99" s="341">
        <v>34.06</v>
      </c>
      <c r="H99" s="341">
        <v>59.95</v>
      </c>
      <c r="I99" s="323" t="s">
        <v>1054</v>
      </c>
      <c r="J99" s="327">
        <v>8.4000000000000005E-2</v>
      </c>
      <c r="K99" s="267">
        <v>90</v>
      </c>
      <c r="L99" s="267">
        <v>8.31</v>
      </c>
      <c r="M99" s="268" t="s">
        <v>1021</v>
      </c>
      <c r="N99" s="267">
        <v>1.4E-2</v>
      </c>
      <c r="O99" s="269">
        <v>15</v>
      </c>
      <c r="P99" s="270">
        <v>1.34</v>
      </c>
      <c r="Q99" s="270" t="s">
        <v>1055</v>
      </c>
      <c r="R99" s="269">
        <v>2E-3</v>
      </c>
    </row>
    <row r="100" spans="1:18" s="265" customFormat="1" ht="12.75">
      <c r="A100" s="358" t="s">
        <v>567</v>
      </c>
      <c r="B100" s="358" t="s">
        <v>568</v>
      </c>
      <c r="C100" s="357" t="s">
        <v>569</v>
      </c>
      <c r="D100" s="359"/>
      <c r="E100" s="360"/>
      <c r="F100" s="361">
        <v>5</v>
      </c>
      <c r="G100" s="362">
        <v>11.34</v>
      </c>
      <c r="H100" s="362">
        <v>19.95</v>
      </c>
      <c r="I100" s="361" t="s">
        <v>1050</v>
      </c>
      <c r="J100" s="363">
        <v>3.1E-2</v>
      </c>
      <c r="K100" s="364">
        <v>140</v>
      </c>
      <c r="L100" s="364">
        <v>4.6700000000000008</v>
      </c>
      <c r="M100" s="365" t="s">
        <v>1023</v>
      </c>
      <c r="N100" s="364">
        <v>1.2E-2</v>
      </c>
      <c r="O100" s="364">
        <v>35</v>
      </c>
      <c r="P100" s="365">
        <v>1.1200000000000001</v>
      </c>
      <c r="Q100" s="365" t="s">
        <v>1051</v>
      </c>
      <c r="R100" s="364">
        <v>2.2000000000000001E-3</v>
      </c>
    </row>
    <row r="101" spans="1:18" s="265" customFormat="1" ht="12.75">
      <c r="A101" s="358" t="s">
        <v>570</v>
      </c>
      <c r="B101" s="358" t="s">
        <v>234</v>
      </c>
      <c r="C101" s="357" t="s">
        <v>2</v>
      </c>
      <c r="D101" s="359"/>
      <c r="E101" s="360"/>
      <c r="F101" s="361">
        <v>10</v>
      </c>
      <c r="G101" s="362">
        <v>17.02</v>
      </c>
      <c r="H101" s="362">
        <v>29.95</v>
      </c>
      <c r="I101" s="361" t="s">
        <v>1052</v>
      </c>
      <c r="J101" s="363">
        <v>4.3999999999999997E-2</v>
      </c>
      <c r="K101" s="364">
        <v>140</v>
      </c>
      <c r="L101" s="364">
        <v>6.3500000000000005</v>
      </c>
      <c r="M101" s="365" t="s">
        <v>1023</v>
      </c>
      <c r="N101" s="364">
        <v>1.2E-2</v>
      </c>
      <c r="O101" s="364">
        <v>35</v>
      </c>
      <c r="P101" s="365">
        <v>1.54</v>
      </c>
      <c r="Q101" s="365" t="s">
        <v>1053</v>
      </c>
      <c r="R101" s="364">
        <v>2.2000000000000001E-3</v>
      </c>
    </row>
    <row r="102" spans="1:18" s="265" customFormat="1" ht="12.75">
      <c r="A102" s="358" t="s">
        <v>571</v>
      </c>
      <c r="B102" s="358" t="s">
        <v>235</v>
      </c>
      <c r="C102" s="357" t="s">
        <v>572</v>
      </c>
      <c r="D102" s="359"/>
      <c r="E102" s="360"/>
      <c r="F102" s="361">
        <v>30</v>
      </c>
      <c r="G102" s="362">
        <v>34.06</v>
      </c>
      <c r="H102" s="362">
        <v>59.95</v>
      </c>
      <c r="I102" s="361" t="s">
        <v>1054</v>
      </c>
      <c r="J102" s="363">
        <v>8.4000000000000005E-2</v>
      </c>
      <c r="K102" s="364">
        <v>90</v>
      </c>
      <c r="L102" s="364">
        <v>8.31</v>
      </c>
      <c r="M102" s="365" t="s">
        <v>1021</v>
      </c>
      <c r="N102" s="364">
        <v>1.4E-2</v>
      </c>
      <c r="O102" s="364">
        <v>15</v>
      </c>
      <c r="P102" s="365">
        <v>1.34</v>
      </c>
      <c r="Q102" s="365" t="s">
        <v>1055</v>
      </c>
      <c r="R102" s="364">
        <v>2E-3</v>
      </c>
    </row>
    <row r="103" spans="1:18" s="265" customFormat="1" ht="12.75">
      <c r="A103" s="217" t="s">
        <v>573</v>
      </c>
      <c r="B103" s="217" t="s">
        <v>574</v>
      </c>
      <c r="C103" s="266" t="s">
        <v>575</v>
      </c>
      <c r="D103" s="189"/>
      <c r="E103" s="190"/>
      <c r="F103" s="323">
        <v>5</v>
      </c>
      <c r="G103" s="341">
        <v>5.09</v>
      </c>
      <c r="H103" s="341">
        <v>8.9499999999999993</v>
      </c>
      <c r="I103" s="323" t="s">
        <v>1050</v>
      </c>
      <c r="J103" s="327">
        <v>3.1E-2</v>
      </c>
      <c r="K103" s="267">
        <v>140</v>
      </c>
      <c r="L103" s="267">
        <v>4.6700000000000008</v>
      </c>
      <c r="M103" s="268" t="s">
        <v>1023</v>
      </c>
      <c r="N103" s="267">
        <v>1.2E-2</v>
      </c>
      <c r="O103" s="269">
        <v>35</v>
      </c>
      <c r="P103" s="270">
        <v>1.1200000000000001</v>
      </c>
      <c r="Q103" s="270" t="s">
        <v>1051</v>
      </c>
      <c r="R103" s="269">
        <v>2.2000000000000001E-3</v>
      </c>
    </row>
    <row r="104" spans="1:18" s="265" customFormat="1" ht="12.75">
      <c r="A104" s="217" t="s">
        <v>576</v>
      </c>
      <c r="B104" s="217" t="s">
        <v>577</v>
      </c>
      <c r="C104" s="266" t="s">
        <v>3</v>
      </c>
      <c r="D104" s="189"/>
      <c r="E104" s="190"/>
      <c r="F104" s="323">
        <v>10</v>
      </c>
      <c r="G104" s="341">
        <v>7.36</v>
      </c>
      <c r="H104" s="341">
        <v>12.95</v>
      </c>
      <c r="I104" s="323" t="s">
        <v>1052</v>
      </c>
      <c r="J104" s="327">
        <v>4.3999999999999997E-2</v>
      </c>
      <c r="K104" s="267">
        <v>140</v>
      </c>
      <c r="L104" s="267">
        <v>6.3500000000000005</v>
      </c>
      <c r="M104" s="268" t="s">
        <v>1023</v>
      </c>
      <c r="N104" s="267">
        <v>1.2E-2</v>
      </c>
      <c r="O104" s="269">
        <v>35</v>
      </c>
      <c r="P104" s="270">
        <v>1.54</v>
      </c>
      <c r="Q104" s="270" t="s">
        <v>1053</v>
      </c>
      <c r="R104" s="269">
        <v>2.2000000000000001E-3</v>
      </c>
    </row>
    <row r="105" spans="1:18" s="265" customFormat="1" ht="12.75">
      <c r="A105" s="217" t="s">
        <v>578</v>
      </c>
      <c r="B105" s="217" t="s">
        <v>579</v>
      </c>
      <c r="C105" s="266" t="s">
        <v>580</v>
      </c>
      <c r="D105" s="189"/>
      <c r="E105" s="190"/>
      <c r="F105" s="323">
        <v>30</v>
      </c>
      <c r="G105" s="341">
        <v>14.18</v>
      </c>
      <c r="H105" s="341">
        <v>24.95</v>
      </c>
      <c r="I105" s="323" t="s">
        <v>1054</v>
      </c>
      <c r="J105" s="327">
        <v>8.4000000000000005E-2</v>
      </c>
      <c r="K105" s="267">
        <v>90</v>
      </c>
      <c r="L105" s="267">
        <v>8.31</v>
      </c>
      <c r="M105" s="268" t="s">
        <v>1021</v>
      </c>
      <c r="N105" s="267">
        <v>1.4E-2</v>
      </c>
      <c r="O105" s="269">
        <v>15</v>
      </c>
      <c r="P105" s="270">
        <v>1.34</v>
      </c>
      <c r="Q105" s="270" t="s">
        <v>1055</v>
      </c>
      <c r="R105" s="269">
        <v>2E-3</v>
      </c>
    </row>
    <row r="106" spans="1:18" s="265" customFormat="1" ht="12.75">
      <c r="A106" s="358" t="s">
        <v>581</v>
      </c>
      <c r="B106" s="358" t="s">
        <v>582</v>
      </c>
      <c r="C106" s="357" t="s">
        <v>583</v>
      </c>
      <c r="D106" s="359"/>
      <c r="E106" s="360"/>
      <c r="F106" s="361">
        <v>5</v>
      </c>
      <c r="G106" s="362">
        <v>22.7</v>
      </c>
      <c r="H106" s="362">
        <v>39.950000000000003</v>
      </c>
      <c r="I106" s="361" t="s">
        <v>1050</v>
      </c>
      <c r="J106" s="363">
        <v>3.1E-2</v>
      </c>
      <c r="K106" s="364">
        <v>140</v>
      </c>
      <c r="L106" s="364">
        <v>4.6700000000000008</v>
      </c>
      <c r="M106" s="365" t="s">
        <v>1023</v>
      </c>
      <c r="N106" s="364">
        <v>1.2E-2</v>
      </c>
      <c r="O106" s="364">
        <v>35</v>
      </c>
      <c r="P106" s="365">
        <v>1.1200000000000001</v>
      </c>
      <c r="Q106" s="365" t="s">
        <v>1051</v>
      </c>
      <c r="R106" s="364">
        <v>2.2000000000000001E-3</v>
      </c>
    </row>
    <row r="107" spans="1:18" s="265" customFormat="1" ht="12.75">
      <c r="A107" s="358" t="s">
        <v>584</v>
      </c>
      <c r="B107" s="358" t="s">
        <v>585</v>
      </c>
      <c r="C107" s="357" t="s">
        <v>4</v>
      </c>
      <c r="D107" s="359"/>
      <c r="E107" s="360"/>
      <c r="F107" s="361">
        <v>10</v>
      </c>
      <c r="G107" s="362">
        <v>51.11</v>
      </c>
      <c r="H107" s="362">
        <v>89.95</v>
      </c>
      <c r="I107" s="361" t="s">
        <v>1052</v>
      </c>
      <c r="J107" s="363">
        <v>4.3999999999999997E-2</v>
      </c>
      <c r="K107" s="364">
        <v>140</v>
      </c>
      <c r="L107" s="364">
        <v>6.3500000000000005</v>
      </c>
      <c r="M107" s="365" t="s">
        <v>1023</v>
      </c>
      <c r="N107" s="364">
        <v>1.2E-2</v>
      </c>
      <c r="O107" s="364">
        <v>35</v>
      </c>
      <c r="P107" s="365">
        <v>1.54</v>
      </c>
      <c r="Q107" s="365" t="s">
        <v>1053</v>
      </c>
      <c r="R107" s="364">
        <v>2.2000000000000001E-3</v>
      </c>
    </row>
    <row r="108" spans="1:18" s="265" customFormat="1" ht="12.75">
      <c r="A108" s="358" t="s">
        <v>586</v>
      </c>
      <c r="B108" s="358" t="s">
        <v>587</v>
      </c>
      <c r="C108" s="357" t="s">
        <v>588</v>
      </c>
      <c r="D108" s="359"/>
      <c r="E108" s="360"/>
      <c r="F108" s="361">
        <v>30</v>
      </c>
      <c r="G108" s="362">
        <v>113.61</v>
      </c>
      <c r="H108" s="362">
        <v>199.95</v>
      </c>
      <c r="I108" s="361" t="s">
        <v>1054</v>
      </c>
      <c r="J108" s="363">
        <v>8.4000000000000005E-2</v>
      </c>
      <c r="K108" s="364">
        <v>90</v>
      </c>
      <c r="L108" s="364">
        <v>8.31</v>
      </c>
      <c r="M108" s="365" t="s">
        <v>1021</v>
      </c>
      <c r="N108" s="364">
        <v>1.4E-2</v>
      </c>
      <c r="O108" s="364">
        <v>15</v>
      </c>
      <c r="P108" s="365">
        <v>1.34</v>
      </c>
      <c r="Q108" s="365" t="s">
        <v>1055</v>
      </c>
      <c r="R108" s="364">
        <v>2E-3</v>
      </c>
    </row>
    <row r="109" spans="1:18" s="265" customFormat="1" ht="12.75">
      <c r="A109" s="217" t="s">
        <v>589</v>
      </c>
      <c r="B109" s="217" t="s">
        <v>590</v>
      </c>
      <c r="C109" s="266" t="s">
        <v>5</v>
      </c>
      <c r="D109" s="189"/>
      <c r="E109" s="190"/>
      <c r="F109" s="323">
        <v>2</v>
      </c>
      <c r="G109" s="341">
        <v>19.86</v>
      </c>
      <c r="H109" s="341">
        <v>34.950000000000003</v>
      </c>
      <c r="I109" s="323" t="s">
        <v>1050</v>
      </c>
      <c r="J109" s="327">
        <v>2.8000000000000001E-2</v>
      </c>
      <c r="K109" s="267">
        <v>140</v>
      </c>
      <c r="L109" s="267">
        <v>4.3100000000000005</v>
      </c>
      <c r="M109" s="268" t="s">
        <v>1023</v>
      </c>
      <c r="N109" s="267">
        <v>1.2E-2</v>
      </c>
      <c r="O109" s="269">
        <v>35</v>
      </c>
      <c r="P109" s="270">
        <v>1.03</v>
      </c>
      <c r="Q109" s="270" t="s">
        <v>1051</v>
      </c>
      <c r="R109" s="269">
        <v>2.2000000000000001E-3</v>
      </c>
    </row>
    <row r="110" spans="1:18" s="265" customFormat="1" ht="12.75">
      <c r="A110" s="217" t="s">
        <v>591</v>
      </c>
      <c r="B110" s="217" t="s">
        <v>592</v>
      </c>
      <c r="C110" s="266" t="s">
        <v>593</v>
      </c>
      <c r="D110" s="189"/>
      <c r="E110" s="190"/>
      <c r="F110" s="323">
        <v>5</v>
      </c>
      <c r="G110" s="341">
        <v>43.71875</v>
      </c>
      <c r="H110" s="341">
        <v>76.95</v>
      </c>
      <c r="I110" s="323" t="s">
        <v>1050</v>
      </c>
      <c r="J110" s="327">
        <v>3.1E-2</v>
      </c>
      <c r="K110" s="267">
        <v>140</v>
      </c>
      <c r="L110" s="267">
        <v>4.6700000000000008</v>
      </c>
      <c r="M110" s="268" t="s">
        <v>1023</v>
      </c>
      <c r="N110" s="267">
        <v>1.2E-2</v>
      </c>
      <c r="O110" s="269">
        <v>35</v>
      </c>
      <c r="P110" s="270">
        <v>1.1200000000000001</v>
      </c>
      <c r="Q110" s="270" t="s">
        <v>1051</v>
      </c>
      <c r="R110" s="269">
        <v>2.2000000000000001E-3</v>
      </c>
    </row>
    <row r="111" spans="1:18" s="265" customFormat="1" ht="12.75">
      <c r="A111" s="217" t="s">
        <v>594</v>
      </c>
      <c r="B111" s="217" t="s">
        <v>595</v>
      </c>
      <c r="C111" s="266" t="s">
        <v>6</v>
      </c>
      <c r="D111" s="189"/>
      <c r="E111" s="190"/>
      <c r="F111" s="323">
        <v>10</v>
      </c>
      <c r="G111" s="341">
        <v>74.96875</v>
      </c>
      <c r="H111" s="341">
        <v>131.94999999999999</v>
      </c>
      <c r="I111" s="323" t="s">
        <v>1052</v>
      </c>
      <c r="J111" s="327">
        <v>4.3999999999999997E-2</v>
      </c>
      <c r="K111" s="267">
        <v>140</v>
      </c>
      <c r="L111" s="267">
        <v>6.3500000000000005</v>
      </c>
      <c r="M111" s="268" t="s">
        <v>1023</v>
      </c>
      <c r="N111" s="267">
        <v>1.2E-2</v>
      </c>
      <c r="O111" s="269">
        <v>35</v>
      </c>
      <c r="P111" s="270">
        <v>1.54</v>
      </c>
      <c r="Q111" s="270" t="s">
        <v>1053</v>
      </c>
      <c r="R111" s="269">
        <v>2.2000000000000001E-3</v>
      </c>
    </row>
    <row r="112" spans="1:18" s="265" customFormat="1" ht="12.75">
      <c r="A112" s="217" t="s">
        <v>596</v>
      </c>
      <c r="B112" s="217" t="s">
        <v>597</v>
      </c>
      <c r="C112" s="266" t="s">
        <v>598</v>
      </c>
      <c r="D112" s="189"/>
      <c r="E112" s="190"/>
      <c r="F112" s="323">
        <v>30</v>
      </c>
      <c r="G112" s="341">
        <v>199.96875</v>
      </c>
      <c r="H112" s="341">
        <v>351.95</v>
      </c>
      <c r="I112" s="323" t="s">
        <v>1054</v>
      </c>
      <c r="J112" s="327">
        <v>8.4000000000000005E-2</v>
      </c>
      <c r="K112" s="267">
        <v>90</v>
      </c>
      <c r="L112" s="267">
        <v>8.31</v>
      </c>
      <c r="M112" s="268" t="s">
        <v>1021</v>
      </c>
      <c r="N112" s="267">
        <v>1.4E-2</v>
      </c>
      <c r="O112" s="269">
        <v>15</v>
      </c>
      <c r="P112" s="270">
        <v>1.34</v>
      </c>
      <c r="Q112" s="270" t="s">
        <v>1055</v>
      </c>
      <c r="R112" s="269">
        <v>2E-3</v>
      </c>
    </row>
    <row r="113" spans="1:18" s="265" customFormat="1" ht="12.75">
      <c r="A113" s="358" t="s">
        <v>599</v>
      </c>
      <c r="B113" s="358" t="s">
        <v>600</v>
      </c>
      <c r="C113" s="357" t="s">
        <v>601</v>
      </c>
      <c r="D113" s="359"/>
      <c r="E113" s="360"/>
      <c r="F113" s="361">
        <v>5</v>
      </c>
      <c r="G113" s="362">
        <v>14.18</v>
      </c>
      <c r="H113" s="362">
        <v>24.95</v>
      </c>
      <c r="I113" s="361" t="s">
        <v>1050</v>
      </c>
      <c r="J113" s="363">
        <v>3.1E-2</v>
      </c>
      <c r="K113" s="364">
        <v>140</v>
      </c>
      <c r="L113" s="364">
        <v>4.6700000000000008</v>
      </c>
      <c r="M113" s="365" t="s">
        <v>1023</v>
      </c>
      <c r="N113" s="364">
        <v>1.2E-2</v>
      </c>
      <c r="O113" s="364">
        <v>35</v>
      </c>
      <c r="P113" s="365">
        <v>1.1200000000000001</v>
      </c>
      <c r="Q113" s="365" t="s">
        <v>1051</v>
      </c>
      <c r="R113" s="364">
        <v>2.2000000000000001E-3</v>
      </c>
    </row>
    <row r="114" spans="1:18" s="265" customFormat="1" ht="12.75">
      <c r="A114" s="358" t="s">
        <v>602</v>
      </c>
      <c r="B114" s="358" t="s">
        <v>603</v>
      </c>
      <c r="C114" s="357" t="s">
        <v>7</v>
      </c>
      <c r="D114" s="359"/>
      <c r="E114" s="360"/>
      <c r="F114" s="361">
        <v>10</v>
      </c>
      <c r="G114" s="362">
        <v>22.7</v>
      </c>
      <c r="H114" s="362">
        <v>39.950000000000003</v>
      </c>
      <c r="I114" s="361" t="s">
        <v>1052</v>
      </c>
      <c r="J114" s="363">
        <v>4.3999999999999997E-2</v>
      </c>
      <c r="K114" s="364">
        <v>140</v>
      </c>
      <c r="L114" s="364">
        <v>6.3500000000000005</v>
      </c>
      <c r="M114" s="365" t="s">
        <v>1023</v>
      </c>
      <c r="N114" s="364">
        <v>1.2E-2</v>
      </c>
      <c r="O114" s="364">
        <v>35</v>
      </c>
      <c r="P114" s="365">
        <v>1.54</v>
      </c>
      <c r="Q114" s="365" t="s">
        <v>1053</v>
      </c>
      <c r="R114" s="364">
        <v>2.2000000000000001E-3</v>
      </c>
    </row>
    <row r="115" spans="1:18" s="265" customFormat="1" ht="12.75">
      <c r="A115" s="358" t="s">
        <v>604</v>
      </c>
      <c r="B115" s="358" t="s">
        <v>605</v>
      </c>
      <c r="C115" s="357" t="s">
        <v>606</v>
      </c>
      <c r="D115" s="359"/>
      <c r="E115" s="360"/>
      <c r="F115" s="361">
        <v>30</v>
      </c>
      <c r="G115" s="362">
        <v>45.43</v>
      </c>
      <c r="H115" s="362">
        <v>79.95</v>
      </c>
      <c r="I115" s="361" t="s">
        <v>1054</v>
      </c>
      <c r="J115" s="363">
        <v>8.4000000000000005E-2</v>
      </c>
      <c r="K115" s="364">
        <v>90</v>
      </c>
      <c r="L115" s="364">
        <v>8.31</v>
      </c>
      <c r="M115" s="365" t="s">
        <v>1021</v>
      </c>
      <c r="N115" s="364">
        <v>1.4E-2</v>
      </c>
      <c r="O115" s="364">
        <v>15</v>
      </c>
      <c r="P115" s="365">
        <v>1.34</v>
      </c>
      <c r="Q115" s="365" t="s">
        <v>1055</v>
      </c>
      <c r="R115" s="364">
        <v>2E-3</v>
      </c>
    </row>
    <row r="116" spans="1:18" s="265" customFormat="1" ht="12.75">
      <c r="A116" s="217" t="s">
        <v>607</v>
      </c>
      <c r="B116" s="217" t="s">
        <v>608</v>
      </c>
      <c r="C116" s="266" t="s">
        <v>609</v>
      </c>
      <c r="D116" s="189"/>
      <c r="E116" s="190"/>
      <c r="F116" s="323">
        <v>5</v>
      </c>
      <c r="G116" s="341">
        <v>5.65</v>
      </c>
      <c r="H116" s="341">
        <v>9.9499999999999993</v>
      </c>
      <c r="I116" s="323" t="s">
        <v>1050</v>
      </c>
      <c r="J116" s="327">
        <v>3.1E-2</v>
      </c>
      <c r="K116" s="267">
        <v>140</v>
      </c>
      <c r="L116" s="267">
        <v>4.6700000000000008</v>
      </c>
      <c r="M116" s="268" t="s">
        <v>1023</v>
      </c>
      <c r="N116" s="267">
        <v>1.2E-2</v>
      </c>
      <c r="O116" s="269">
        <v>35</v>
      </c>
      <c r="P116" s="270">
        <v>1.1200000000000001</v>
      </c>
      <c r="Q116" s="270" t="s">
        <v>1051</v>
      </c>
      <c r="R116" s="269">
        <v>2.2000000000000001E-3</v>
      </c>
    </row>
    <row r="117" spans="1:18" s="265" customFormat="1" ht="12.75">
      <c r="A117" s="217" t="s">
        <v>610</v>
      </c>
      <c r="B117" s="217" t="s">
        <v>611</v>
      </c>
      <c r="C117" s="266" t="s">
        <v>8</v>
      </c>
      <c r="D117" s="189"/>
      <c r="E117" s="190"/>
      <c r="F117" s="323">
        <v>10</v>
      </c>
      <c r="G117" s="341">
        <v>7.36</v>
      </c>
      <c r="H117" s="341">
        <v>12.95</v>
      </c>
      <c r="I117" s="323" t="s">
        <v>1052</v>
      </c>
      <c r="J117" s="327">
        <v>4.3999999999999997E-2</v>
      </c>
      <c r="K117" s="267">
        <v>140</v>
      </c>
      <c r="L117" s="267">
        <v>6.3500000000000005</v>
      </c>
      <c r="M117" s="268" t="s">
        <v>1023</v>
      </c>
      <c r="N117" s="267">
        <v>1.2E-2</v>
      </c>
      <c r="O117" s="269">
        <v>35</v>
      </c>
      <c r="P117" s="270">
        <v>1.54</v>
      </c>
      <c r="Q117" s="270" t="s">
        <v>1053</v>
      </c>
      <c r="R117" s="269">
        <v>2.2000000000000001E-3</v>
      </c>
    </row>
    <row r="118" spans="1:18" s="265" customFormat="1" ht="12.75">
      <c r="A118" s="217" t="s">
        <v>612</v>
      </c>
      <c r="B118" s="217" t="s">
        <v>613</v>
      </c>
      <c r="C118" s="266" t="s">
        <v>614</v>
      </c>
      <c r="D118" s="189"/>
      <c r="E118" s="190"/>
      <c r="F118" s="323">
        <v>30</v>
      </c>
      <c r="G118" s="341">
        <v>15.31</v>
      </c>
      <c r="H118" s="341">
        <v>26.95</v>
      </c>
      <c r="I118" s="323" t="s">
        <v>1054</v>
      </c>
      <c r="J118" s="327">
        <v>8.4000000000000005E-2</v>
      </c>
      <c r="K118" s="267">
        <v>90</v>
      </c>
      <c r="L118" s="267">
        <v>8.31</v>
      </c>
      <c r="M118" s="268" t="s">
        <v>1021</v>
      </c>
      <c r="N118" s="267">
        <v>1.4E-2</v>
      </c>
      <c r="O118" s="269">
        <v>15</v>
      </c>
      <c r="P118" s="270">
        <v>1.34</v>
      </c>
      <c r="Q118" s="270" t="s">
        <v>1055</v>
      </c>
      <c r="R118" s="269">
        <v>2E-3</v>
      </c>
    </row>
    <row r="119" spans="1:18" s="265" customFormat="1" ht="12.75">
      <c r="A119" s="358" t="s">
        <v>615</v>
      </c>
      <c r="B119" s="358" t="s">
        <v>616</v>
      </c>
      <c r="C119" s="357" t="s">
        <v>617</v>
      </c>
      <c r="D119" s="359"/>
      <c r="E119" s="360"/>
      <c r="F119" s="361">
        <v>5</v>
      </c>
      <c r="G119" s="362">
        <v>5.65</v>
      </c>
      <c r="H119" s="362">
        <v>9.9499999999999993</v>
      </c>
      <c r="I119" s="361" t="s">
        <v>1050</v>
      </c>
      <c r="J119" s="363">
        <v>3.1E-2</v>
      </c>
      <c r="K119" s="364">
        <v>140</v>
      </c>
      <c r="L119" s="364">
        <v>4.6700000000000008</v>
      </c>
      <c r="M119" s="365" t="s">
        <v>1023</v>
      </c>
      <c r="N119" s="364">
        <v>1.2E-2</v>
      </c>
      <c r="O119" s="364">
        <v>35</v>
      </c>
      <c r="P119" s="365">
        <v>1.1200000000000001</v>
      </c>
      <c r="Q119" s="365" t="s">
        <v>1051</v>
      </c>
      <c r="R119" s="364">
        <v>2.2000000000000001E-3</v>
      </c>
    </row>
    <row r="120" spans="1:18" s="265" customFormat="1" ht="12.75">
      <c r="A120" s="358" t="s">
        <v>618</v>
      </c>
      <c r="B120" s="358" t="s">
        <v>619</v>
      </c>
      <c r="C120" s="357" t="s">
        <v>9</v>
      </c>
      <c r="D120" s="359"/>
      <c r="E120" s="360"/>
      <c r="F120" s="361">
        <v>10</v>
      </c>
      <c r="G120" s="362">
        <v>7.36</v>
      </c>
      <c r="H120" s="362">
        <v>12.95</v>
      </c>
      <c r="I120" s="361" t="s">
        <v>1052</v>
      </c>
      <c r="J120" s="363">
        <v>4.3999999999999997E-2</v>
      </c>
      <c r="K120" s="364">
        <v>140</v>
      </c>
      <c r="L120" s="364">
        <v>6.3500000000000005</v>
      </c>
      <c r="M120" s="365" t="s">
        <v>1023</v>
      </c>
      <c r="N120" s="364">
        <v>1.2E-2</v>
      </c>
      <c r="O120" s="364">
        <v>35</v>
      </c>
      <c r="P120" s="365">
        <v>1.54</v>
      </c>
      <c r="Q120" s="365" t="s">
        <v>1053</v>
      </c>
      <c r="R120" s="364">
        <v>2.2000000000000001E-3</v>
      </c>
    </row>
    <row r="121" spans="1:18" s="265" customFormat="1" ht="12.75">
      <c r="A121" s="358" t="s">
        <v>620</v>
      </c>
      <c r="B121" s="358" t="s">
        <v>621</v>
      </c>
      <c r="C121" s="357" t="s">
        <v>622</v>
      </c>
      <c r="D121" s="359"/>
      <c r="E121" s="360"/>
      <c r="F121" s="361">
        <v>30</v>
      </c>
      <c r="G121" s="362">
        <v>15.31</v>
      </c>
      <c r="H121" s="362">
        <v>26.95</v>
      </c>
      <c r="I121" s="361" t="s">
        <v>1054</v>
      </c>
      <c r="J121" s="363">
        <v>8.4000000000000005E-2</v>
      </c>
      <c r="K121" s="364">
        <v>90</v>
      </c>
      <c r="L121" s="364">
        <v>8.31</v>
      </c>
      <c r="M121" s="365" t="s">
        <v>1021</v>
      </c>
      <c r="N121" s="364">
        <v>1.4E-2</v>
      </c>
      <c r="O121" s="364">
        <v>15</v>
      </c>
      <c r="P121" s="365">
        <v>1.34</v>
      </c>
      <c r="Q121" s="365" t="s">
        <v>1055</v>
      </c>
      <c r="R121" s="364">
        <v>2E-3</v>
      </c>
    </row>
    <row r="122" spans="1:18" s="265" customFormat="1" ht="12.75">
      <c r="A122" s="217" t="s">
        <v>623</v>
      </c>
      <c r="B122" s="217" t="s">
        <v>624</v>
      </c>
      <c r="C122" s="266" t="s">
        <v>625</v>
      </c>
      <c r="D122" s="189"/>
      <c r="E122" s="190"/>
      <c r="F122" s="323">
        <v>5</v>
      </c>
      <c r="G122" s="341">
        <v>14.18</v>
      </c>
      <c r="H122" s="341">
        <v>24.95</v>
      </c>
      <c r="I122" s="323" t="s">
        <v>1050</v>
      </c>
      <c r="J122" s="327">
        <v>3.1E-2</v>
      </c>
      <c r="K122" s="267">
        <v>140</v>
      </c>
      <c r="L122" s="267">
        <v>4.6700000000000008</v>
      </c>
      <c r="M122" s="268" t="s">
        <v>1023</v>
      </c>
      <c r="N122" s="267">
        <v>1.2E-2</v>
      </c>
      <c r="O122" s="269">
        <v>35</v>
      </c>
      <c r="P122" s="270">
        <v>1.1200000000000001</v>
      </c>
      <c r="Q122" s="270" t="s">
        <v>1051</v>
      </c>
      <c r="R122" s="269">
        <v>2.2000000000000001E-3</v>
      </c>
    </row>
    <row r="123" spans="1:18" s="265" customFormat="1" ht="12.75">
      <c r="A123" s="217" t="s">
        <v>626</v>
      </c>
      <c r="B123" s="217" t="s">
        <v>627</v>
      </c>
      <c r="C123" s="266" t="s">
        <v>10</v>
      </c>
      <c r="D123" s="189"/>
      <c r="E123" s="190"/>
      <c r="F123" s="323">
        <v>10</v>
      </c>
      <c r="G123" s="341">
        <v>22.7</v>
      </c>
      <c r="H123" s="341">
        <v>39.950000000000003</v>
      </c>
      <c r="I123" s="323" t="s">
        <v>1052</v>
      </c>
      <c r="J123" s="327">
        <v>4.3999999999999997E-2</v>
      </c>
      <c r="K123" s="267">
        <v>140</v>
      </c>
      <c r="L123" s="267">
        <v>6.3500000000000005</v>
      </c>
      <c r="M123" s="268" t="s">
        <v>1023</v>
      </c>
      <c r="N123" s="267">
        <v>1.2E-2</v>
      </c>
      <c r="O123" s="269">
        <v>35</v>
      </c>
      <c r="P123" s="270">
        <v>1.54</v>
      </c>
      <c r="Q123" s="270" t="s">
        <v>1053</v>
      </c>
      <c r="R123" s="269">
        <v>2.2000000000000001E-3</v>
      </c>
    </row>
    <row r="124" spans="1:18" s="265" customFormat="1" ht="12.75">
      <c r="A124" s="217" t="s">
        <v>628</v>
      </c>
      <c r="B124" s="217" t="s">
        <v>629</v>
      </c>
      <c r="C124" s="266" t="s">
        <v>630</v>
      </c>
      <c r="D124" s="189"/>
      <c r="E124" s="190"/>
      <c r="F124" s="323">
        <v>30</v>
      </c>
      <c r="G124" s="341">
        <v>54.52</v>
      </c>
      <c r="H124" s="341">
        <v>95.95</v>
      </c>
      <c r="I124" s="323" t="s">
        <v>1054</v>
      </c>
      <c r="J124" s="327">
        <v>8.4000000000000005E-2</v>
      </c>
      <c r="K124" s="267">
        <v>90</v>
      </c>
      <c r="L124" s="267">
        <v>8.31</v>
      </c>
      <c r="M124" s="268" t="s">
        <v>1021</v>
      </c>
      <c r="N124" s="267">
        <v>1.4E-2</v>
      </c>
      <c r="O124" s="269">
        <v>15</v>
      </c>
      <c r="P124" s="270">
        <v>1.34</v>
      </c>
      <c r="Q124" s="270" t="s">
        <v>1055</v>
      </c>
      <c r="R124" s="269">
        <v>2E-3</v>
      </c>
    </row>
    <row r="125" spans="1:18" s="265" customFormat="1" ht="12.75">
      <c r="A125" s="358" t="s">
        <v>631</v>
      </c>
      <c r="B125" s="358" t="s">
        <v>632</v>
      </c>
      <c r="C125" s="357" t="s">
        <v>633</v>
      </c>
      <c r="D125" s="359"/>
      <c r="E125" s="360"/>
      <c r="F125" s="361">
        <v>5</v>
      </c>
      <c r="G125" s="362">
        <v>8.49</v>
      </c>
      <c r="H125" s="362">
        <v>14.95</v>
      </c>
      <c r="I125" s="361" t="s">
        <v>1050</v>
      </c>
      <c r="J125" s="363">
        <v>3.1E-2</v>
      </c>
      <c r="K125" s="364">
        <v>140</v>
      </c>
      <c r="L125" s="364">
        <v>4.6700000000000008</v>
      </c>
      <c r="M125" s="365" t="s">
        <v>1023</v>
      </c>
      <c r="N125" s="364">
        <v>1.2E-2</v>
      </c>
      <c r="O125" s="364">
        <v>35</v>
      </c>
      <c r="P125" s="365">
        <v>1.1200000000000001</v>
      </c>
      <c r="Q125" s="365" t="s">
        <v>1051</v>
      </c>
      <c r="R125" s="364">
        <v>2.2000000000000001E-3</v>
      </c>
    </row>
    <row r="126" spans="1:18" s="265" customFormat="1" ht="12.75">
      <c r="A126" s="358" t="s">
        <v>634</v>
      </c>
      <c r="B126" s="358" t="s">
        <v>635</v>
      </c>
      <c r="C126" s="357" t="s">
        <v>11</v>
      </c>
      <c r="D126" s="359"/>
      <c r="E126" s="360"/>
      <c r="F126" s="361">
        <v>10</v>
      </c>
      <c r="G126" s="362">
        <v>14.18</v>
      </c>
      <c r="H126" s="362">
        <v>24.95</v>
      </c>
      <c r="I126" s="361" t="s">
        <v>1052</v>
      </c>
      <c r="J126" s="363">
        <v>4.3999999999999997E-2</v>
      </c>
      <c r="K126" s="364">
        <v>140</v>
      </c>
      <c r="L126" s="364">
        <v>6.3500000000000005</v>
      </c>
      <c r="M126" s="365" t="s">
        <v>1023</v>
      </c>
      <c r="N126" s="364">
        <v>1.2E-2</v>
      </c>
      <c r="O126" s="364">
        <v>35</v>
      </c>
      <c r="P126" s="365">
        <v>1.54</v>
      </c>
      <c r="Q126" s="365" t="s">
        <v>1053</v>
      </c>
      <c r="R126" s="364">
        <v>2.2000000000000001E-3</v>
      </c>
    </row>
    <row r="127" spans="1:18" s="265" customFormat="1" ht="12.75">
      <c r="A127" s="358" t="s">
        <v>636</v>
      </c>
      <c r="B127" s="358" t="s">
        <v>637</v>
      </c>
      <c r="C127" s="357" t="s">
        <v>638</v>
      </c>
      <c r="D127" s="359"/>
      <c r="E127" s="360"/>
      <c r="F127" s="361">
        <v>30</v>
      </c>
      <c r="G127" s="362">
        <v>28.38</v>
      </c>
      <c r="H127" s="362">
        <v>49.95</v>
      </c>
      <c r="I127" s="361" t="s">
        <v>1054</v>
      </c>
      <c r="J127" s="363">
        <v>8.4000000000000005E-2</v>
      </c>
      <c r="K127" s="364">
        <v>90</v>
      </c>
      <c r="L127" s="364">
        <v>8.31</v>
      </c>
      <c r="M127" s="365" t="s">
        <v>1021</v>
      </c>
      <c r="N127" s="364">
        <v>1.4E-2</v>
      </c>
      <c r="O127" s="364">
        <v>15</v>
      </c>
      <c r="P127" s="365">
        <v>1.34</v>
      </c>
      <c r="Q127" s="365" t="s">
        <v>1055</v>
      </c>
      <c r="R127" s="364">
        <v>2E-3</v>
      </c>
    </row>
    <row r="128" spans="1:18" s="265" customFormat="1" ht="12.75">
      <c r="A128" s="217" t="s">
        <v>639</v>
      </c>
      <c r="B128" s="217" t="s">
        <v>640</v>
      </c>
      <c r="C128" s="266" t="s">
        <v>641</v>
      </c>
      <c r="D128" s="189"/>
      <c r="E128" s="190"/>
      <c r="F128" s="323">
        <v>5</v>
      </c>
      <c r="G128" s="341">
        <v>11.34</v>
      </c>
      <c r="H128" s="341">
        <v>19.95</v>
      </c>
      <c r="I128" s="323" t="s">
        <v>1050</v>
      </c>
      <c r="J128" s="327">
        <v>3.1E-2</v>
      </c>
      <c r="K128" s="267">
        <v>140</v>
      </c>
      <c r="L128" s="267">
        <v>4.6700000000000008</v>
      </c>
      <c r="M128" s="268" t="s">
        <v>1023</v>
      </c>
      <c r="N128" s="267">
        <v>1.2E-2</v>
      </c>
      <c r="O128" s="269">
        <v>35</v>
      </c>
      <c r="P128" s="270">
        <v>1.1200000000000001</v>
      </c>
      <c r="Q128" s="270" t="s">
        <v>1051</v>
      </c>
      <c r="R128" s="269">
        <v>2.2000000000000001E-3</v>
      </c>
    </row>
    <row r="129" spans="1:18" s="265" customFormat="1" ht="12.75">
      <c r="A129" s="217" t="s">
        <v>642</v>
      </c>
      <c r="B129" s="217" t="s">
        <v>643</v>
      </c>
      <c r="C129" s="266" t="s">
        <v>12</v>
      </c>
      <c r="D129" s="189"/>
      <c r="E129" s="190"/>
      <c r="F129" s="323">
        <v>10</v>
      </c>
      <c r="G129" s="341">
        <v>17.02</v>
      </c>
      <c r="H129" s="341">
        <v>29.95</v>
      </c>
      <c r="I129" s="323" t="s">
        <v>1052</v>
      </c>
      <c r="J129" s="327">
        <v>4.3999999999999997E-2</v>
      </c>
      <c r="K129" s="267">
        <v>140</v>
      </c>
      <c r="L129" s="267">
        <v>6.3500000000000005</v>
      </c>
      <c r="M129" s="268" t="s">
        <v>1023</v>
      </c>
      <c r="N129" s="267">
        <v>1.2E-2</v>
      </c>
      <c r="O129" s="269">
        <v>35</v>
      </c>
      <c r="P129" s="270">
        <v>1.54</v>
      </c>
      <c r="Q129" s="270" t="s">
        <v>1053</v>
      </c>
      <c r="R129" s="269">
        <v>2.2000000000000001E-3</v>
      </c>
    </row>
    <row r="130" spans="1:18" s="265" customFormat="1" ht="12.75">
      <c r="A130" s="217" t="s">
        <v>644</v>
      </c>
      <c r="B130" s="217" t="s">
        <v>645</v>
      </c>
      <c r="C130" s="266" t="s">
        <v>646</v>
      </c>
      <c r="D130" s="189"/>
      <c r="E130" s="190"/>
      <c r="F130" s="323">
        <v>30</v>
      </c>
      <c r="G130" s="341">
        <v>34.06</v>
      </c>
      <c r="H130" s="341">
        <v>59.95</v>
      </c>
      <c r="I130" s="323" t="s">
        <v>1054</v>
      </c>
      <c r="J130" s="327">
        <v>8.4000000000000005E-2</v>
      </c>
      <c r="K130" s="267">
        <v>90</v>
      </c>
      <c r="L130" s="267">
        <v>8.31</v>
      </c>
      <c r="M130" s="268" t="s">
        <v>1021</v>
      </c>
      <c r="N130" s="267">
        <v>1.4E-2</v>
      </c>
      <c r="O130" s="269">
        <v>15</v>
      </c>
      <c r="P130" s="270">
        <v>1.34</v>
      </c>
      <c r="Q130" s="270" t="s">
        <v>1055</v>
      </c>
      <c r="R130" s="269">
        <v>2E-3</v>
      </c>
    </row>
    <row r="131" spans="1:18" s="265" customFormat="1" ht="12.75">
      <c r="A131" s="358" t="s">
        <v>1308</v>
      </c>
      <c r="B131" s="358" t="s">
        <v>1309</v>
      </c>
      <c r="C131" s="357" t="s">
        <v>1310</v>
      </c>
      <c r="D131" s="359"/>
      <c r="E131" s="360"/>
      <c r="F131" s="361">
        <v>5</v>
      </c>
      <c r="G131" s="362">
        <v>9.5</v>
      </c>
      <c r="H131" s="362">
        <v>16.72</v>
      </c>
      <c r="I131" s="361" t="s">
        <v>1050</v>
      </c>
      <c r="J131" s="363">
        <v>3.1E-2</v>
      </c>
      <c r="K131" s="364">
        <v>140</v>
      </c>
      <c r="L131" s="364">
        <v>4.6700000000000008</v>
      </c>
      <c r="M131" s="365" t="s">
        <v>1023</v>
      </c>
      <c r="N131" s="364">
        <v>1.2E-2</v>
      </c>
      <c r="O131" s="364">
        <v>35</v>
      </c>
      <c r="P131" s="365">
        <v>1.1200000000000001</v>
      </c>
      <c r="Q131" s="365" t="s">
        <v>1051</v>
      </c>
      <c r="R131" s="364">
        <v>2.2000000000000001E-3</v>
      </c>
    </row>
    <row r="132" spans="1:18" s="265" customFormat="1" ht="12.75">
      <c r="A132" s="358" t="s">
        <v>1311</v>
      </c>
      <c r="B132" s="358" t="s">
        <v>1312</v>
      </c>
      <c r="C132" s="357" t="s">
        <v>1313</v>
      </c>
      <c r="D132" s="359"/>
      <c r="E132" s="360"/>
      <c r="F132" s="361">
        <v>10</v>
      </c>
      <c r="G132" s="362">
        <v>11.86</v>
      </c>
      <c r="H132" s="362">
        <v>20.88</v>
      </c>
      <c r="I132" s="361" t="s">
        <v>1052</v>
      </c>
      <c r="J132" s="363">
        <v>4.3999999999999997E-2</v>
      </c>
      <c r="K132" s="364">
        <v>140</v>
      </c>
      <c r="L132" s="364">
        <v>6.3500000000000005</v>
      </c>
      <c r="M132" s="365" t="s">
        <v>1023</v>
      </c>
      <c r="N132" s="364">
        <v>1.2E-2</v>
      </c>
      <c r="O132" s="364">
        <v>35</v>
      </c>
      <c r="P132" s="365">
        <v>1.54</v>
      </c>
      <c r="Q132" s="365" t="s">
        <v>1053</v>
      </c>
      <c r="R132" s="364">
        <v>2.2000000000000001E-3</v>
      </c>
    </row>
    <row r="133" spans="1:18" s="265" customFormat="1" ht="12.75">
      <c r="A133" s="217" t="s">
        <v>1314</v>
      </c>
      <c r="B133" s="217" t="s">
        <v>1315</v>
      </c>
      <c r="C133" s="266" t="s">
        <v>1316</v>
      </c>
      <c r="D133" s="189"/>
      <c r="E133" s="190"/>
      <c r="F133" s="323">
        <v>5</v>
      </c>
      <c r="G133" s="341">
        <v>9.84</v>
      </c>
      <c r="H133" s="341">
        <v>17.32</v>
      </c>
      <c r="I133" s="323" t="s">
        <v>1050</v>
      </c>
      <c r="J133" s="327">
        <v>3.1E-2</v>
      </c>
      <c r="K133" s="267">
        <v>140</v>
      </c>
      <c r="L133" s="267">
        <v>4.6700000000000008</v>
      </c>
      <c r="M133" s="268" t="s">
        <v>1023</v>
      </c>
      <c r="N133" s="267">
        <v>1.2E-2</v>
      </c>
      <c r="O133" s="269">
        <v>35</v>
      </c>
      <c r="P133" s="270">
        <v>1.1200000000000001</v>
      </c>
      <c r="Q133" s="270" t="s">
        <v>1051</v>
      </c>
      <c r="R133" s="269">
        <v>2.2000000000000001E-3</v>
      </c>
    </row>
    <row r="134" spans="1:18" s="265" customFormat="1" ht="12.75">
      <c r="A134" s="217" t="s">
        <v>1317</v>
      </c>
      <c r="B134" s="217" t="s">
        <v>1318</v>
      </c>
      <c r="C134" s="266" t="s">
        <v>1319</v>
      </c>
      <c r="D134" s="189"/>
      <c r="E134" s="190"/>
      <c r="F134" s="323">
        <v>10</v>
      </c>
      <c r="G134" s="341">
        <v>13</v>
      </c>
      <c r="H134" s="341">
        <v>22.88</v>
      </c>
      <c r="I134" s="323" t="s">
        <v>1052</v>
      </c>
      <c r="J134" s="327">
        <v>4.3999999999999997E-2</v>
      </c>
      <c r="K134" s="267">
        <v>140</v>
      </c>
      <c r="L134" s="267">
        <v>6.3500000000000005</v>
      </c>
      <c r="M134" s="268" t="s">
        <v>1023</v>
      </c>
      <c r="N134" s="267">
        <v>1.2E-2</v>
      </c>
      <c r="O134" s="269">
        <v>35</v>
      </c>
      <c r="P134" s="270">
        <v>1.54</v>
      </c>
      <c r="Q134" s="270" t="s">
        <v>1053</v>
      </c>
      <c r="R134" s="269">
        <v>2.2000000000000001E-3</v>
      </c>
    </row>
    <row r="135" spans="1:18" s="265" customFormat="1" ht="12.75">
      <c r="A135" s="358" t="s">
        <v>1320</v>
      </c>
      <c r="B135" s="358" t="s">
        <v>1321</v>
      </c>
      <c r="C135" s="357" t="s">
        <v>1322</v>
      </c>
      <c r="D135" s="359"/>
      <c r="E135" s="360"/>
      <c r="F135" s="361">
        <v>5</v>
      </c>
      <c r="G135" s="362">
        <v>9.5</v>
      </c>
      <c r="H135" s="362">
        <v>16.72</v>
      </c>
      <c r="I135" s="361" t="s">
        <v>1050</v>
      </c>
      <c r="J135" s="363">
        <v>3.1E-2</v>
      </c>
      <c r="K135" s="364">
        <v>140</v>
      </c>
      <c r="L135" s="364">
        <v>4.6700000000000008</v>
      </c>
      <c r="M135" s="365" t="s">
        <v>1023</v>
      </c>
      <c r="N135" s="364">
        <v>1.2E-2</v>
      </c>
      <c r="O135" s="364">
        <v>35</v>
      </c>
      <c r="P135" s="365">
        <v>1.1200000000000001</v>
      </c>
      <c r="Q135" s="365" t="s">
        <v>1051</v>
      </c>
      <c r="R135" s="364">
        <v>2.2000000000000001E-3</v>
      </c>
    </row>
    <row r="136" spans="1:18" s="265" customFormat="1" ht="12.75">
      <c r="A136" s="358" t="s">
        <v>1323</v>
      </c>
      <c r="B136" s="358" t="s">
        <v>1324</v>
      </c>
      <c r="C136" s="357" t="s">
        <v>1325</v>
      </c>
      <c r="D136" s="359"/>
      <c r="E136" s="360"/>
      <c r="F136" s="361">
        <v>10</v>
      </c>
      <c r="G136" s="362">
        <v>11.86</v>
      </c>
      <c r="H136" s="362">
        <v>20.88</v>
      </c>
      <c r="I136" s="361" t="s">
        <v>1052</v>
      </c>
      <c r="J136" s="363">
        <v>4.3999999999999997E-2</v>
      </c>
      <c r="K136" s="364">
        <v>140</v>
      </c>
      <c r="L136" s="364">
        <v>6.3500000000000005</v>
      </c>
      <c r="M136" s="365" t="s">
        <v>1023</v>
      </c>
      <c r="N136" s="364">
        <v>1.2E-2</v>
      </c>
      <c r="O136" s="364">
        <v>35</v>
      </c>
      <c r="P136" s="365">
        <v>1.54</v>
      </c>
      <c r="Q136" s="365" t="s">
        <v>1053</v>
      </c>
      <c r="R136" s="364">
        <v>2.2000000000000001E-3</v>
      </c>
    </row>
    <row r="137" spans="1:18" s="265" customFormat="1" ht="12.75">
      <c r="A137" s="217" t="s">
        <v>647</v>
      </c>
      <c r="B137" s="217" t="s">
        <v>648</v>
      </c>
      <c r="C137" s="266" t="s">
        <v>265</v>
      </c>
      <c r="D137" s="189"/>
      <c r="E137" s="190"/>
      <c r="F137" s="323">
        <v>5</v>
      </c>
      <c r="G137" s="341">
        <v>3.95</v>
      </c>
      <c r="H137" s="341">
        <v>6.95</v>
      </c>
      <c r="I137" s="323" t="s">
        <v>1050</v>
      </c>
      <c r="J137" s="327">
        <v>3.1E-2</v>
      </c>
      <c r="K137" s="267">
        <v>140</v>
      </c>
      <c r="L137" s="267">
        <v>4.6700000000000008</v>
      </c>
      <c r="M137" s="268" t="s">
        <v>1023</v>
      </c>
      <c r="N137" s="267">
        <v>1.2E-2</v>
      </c>
      <c r="O137" s="269">
        <v>35</v>
      </c>
      <c r="P137" s="270">
        <v>1.1200000000000001</v>
      </c>
      <c r="Q137" s="270" t="s">
        <v>1051</v>
      </c>
      <c r="R137" s="269">
        <v>2.2000000000000001E-3</v>
      </c>
    </row>
    <row r="138" spans="1:18" s="265" customFormat="1" ht="12.75">
      <c r="A138" s="217" t="s">
        <v>649</v>
      </c>
      <c r="B138" s="217" t="s">
        <v>650</v>
      </c>
      <c r="C138" s="266" t="s">
        <v>13</v>
      </c>
      <c r="D138" s="189"/>
      <c r="E138" s="190"/>
      <c r="F138" s="323">
        <v>10</v>
      </c>
      <c r="G138" s="341">
        <v>5.65</v>
      </c>
      <c r="H138" s="341">
        <v>9.9499999999999993</v>
      </c>
      <c r="I138" s="323" t="s">
        <v>1052</v>
      </c>
      <c r="J138" s="327">
        <v>4.3999999999999997E-2</v>
      </c>
      <c r="K138" s="267">
        <v>140</v>
      </c>
      <c r="L138" s="267">
        <v>6.3500000000000005</v>
      </c>
      <c r="M138" s="268" t="s">
        <v>1023</v>
      </c>
      <c r="N138" s="267">
        <v>1.2E-2</v>
      </c>
      <c r="O138" s="269">
        <v>35</v>
      </c>
      <c r="P138" s="270">
        <v>1.54</v>
      </c>
      <c r="Q138" s="270" t="s">
        <v>1053</v>
      </c>
      <c r="R138" s="269">
        <v>2.2000000000000001E-3</v>
      </c>
    </row>
    <row r="139" spans="1:18" s="265" customFormat="1" ht="12.75">
      <c r="A139" s="217" t="s">
        <v>651</v>
      </c>
      <c r="B139" s="217" t="s">
        <v>267</v>
      </c>
      <c r="C139" s="266" t="s">
        <v>652</v>
      </c>
      <c r="D139" s="189"/>
      <c r="E139" s="190"/>
      <c r="F139" s="323">
        <v>30</v>
      </c>
      <c r="G139" s="341">
        <v>14.18</v>
      </c>
      <c r="H139" s="341">
        <v>24.95</v>
      </c>
      <c r="I139" s="323" t="s">
        <v>1054</v>
      </c>
      <c r="J139" s="327">
        <v>8.4000000000000005E-2</v>
      </c>
      <c r="K139" s="267">
        <v>90</v>
      </c>
      <c r="L139" s="267">
        <v>8.31</v>
      </c>
      <c r="M139" s="268" t="s">
        <v>1021</v>
      </c>
      <c r="N139" s="267">
        <v>1.4E-2</v>
      </c>
      <c r="O139" s="269">
        <v>15</v>
      </c>
      <c r="P139" s="270">
        <v>1.34</v>
      </c>
      <c r="Q139" s="270" t="s">
        <v>1055</v>
      </c>
      <c r="R139" s="269">
        <v>2E-3</v>
      </c>
    </row>
    <row r="140" spans="1:18" s="265" customFormat="1" ht="12.75">
      <c r="A140" s="358" t="s">
        <v>653</v>
      </c>
      <c r="B140" s="358" t="s">
        <v>268</v>
      </c>
      <c r="C140" s="357" t="s">
        <v>654</v>
      </c>
      <c r="D140" s="359"/>
      <c r="E140" s="360"/>
      <c r="F140" s="361">
        <v>5</v>
      </c>
      <c r="G140" s="362">
        <v>8.49</v>
      </c>
      <c r="H140" s="362">
        <v>14.95</v>
      </c>
      <c r="I140" s="361" t="s">
        <v>1050</v>
      </c>
      <c r="J140" s="363">
        <v>3.1E-2</v>
      </c>
      <c r="K140" s="364">
        <v>140</v>
      </c>
      <c r="L140" s="364">
        <v>4.6700000000000008</v>
      </c>
      <c r="M140" s="365" t="s">
        <v>1023</v>
      </c>
      <c r="N140" s="364">
        <v>1.2E-2</v>
      </c>
      <c r="O140" s="364">
        <v>35</v>
      </c>
      <c r="P140" s="365">
        <v>1.1200000000000001</v>
      </c>
      <c r="Q140" s="365" t="s">
        <v>1051</v>
      </c>
      <c r="R140" s="364">
        <v>2.2000000000000001E-3</v>
      </c>
    </row>
    <row r="141" spans="1:18" s="265" customFormat="1" ht="12.75">
      <c r="A141" s="358" t="s">
        <v>655</v>
      </c>
      <c r="B141" s="358" t="s">
        <v>656</v>
      </c>
      <c r="C141" s="357" t="s">
        <v>14</v>
      </c>
      <c r="D141" s="359"/>
      <c r="E141" s="360"/>
      <c r="F141" s="361">
        <v>10</v>
      </c>
      <c r="G141" s="362">
        <v>14.18</v>
      </c>
      <c r="H141" s="362">
        <v>24.95</v>
      </c>
      <c r="I141" s="361" t="s">
        <v>1052</v>
      </c>
      <c r="J141" s="363">
        <v>4.3999999999999997E-2</v>
      </c>
      <c r="K141" s="364">
        <v>140</v>
      </c>
      <c r="L141" s="364">
        <v>6.3500000000000005</v>
      </c>
      <c r="M141" s="365" t="s">
        <v>1023</v>
      </c>
      <c r="N141" s="364">
        <v>1.2E-2</v>
      </c>
      <c r="O141" s="364">
        <v>35</v>
      </c>
      <c r="P141" s="365">
        <v>1.54</v>
      </c>
      <c r="Q141" s="365" t="s">
        <v>1053</v>
      </c>
      <c r="R141" s="364">
        <v>2.2000000000000001E-3</v>
      </c>
    </row>
    <row r="142" spans="1:18" s="265" customFormat="1" ht="12.75">
      <c r="A142" s="358" t="s">
        <v>657</v>
      </c>
      <c r="B142" s="358" t="s">
        <v>658</v>
      </c>
      <c r="C142" s="357" t="s">
        <v>271</v>
      </c>
      <c r="D142" s="359"/>
      <c r="E142" s="360"/>
      <c r="F142" s="361">
        <v>30</v>
      </c>
      <c r="G142" s="362">
        <v>28.38</v>
      </c>
      <c r="H142" s="362">
        <v>49.95</v>
      </c>
      <c r="I142" s="361" t="s">
        <v>1054</v>
      </c>
      <c r="J142" s="363">
        <v>8.4000000000000005E-2</v>
      </c>
      <c r="K142" s="364">
        <v>90</v>
      </c>
      <c r="L142" s="364">
        <v>8.31</v>
      </c>
      <c r="M142" s="365" t="s">
        <v>1021</v>
      </c>
      <c r="N142" s="364">
        <v>1.4E-2</v>
      </c>
      <c r="O142" s="364">
        <v>15</v>
      </c>
      <c r="P142" s="365">
        <v>1.34</v>
      </c>
      <c r="Q142" s="365" t="s">
        <v>1055</v>
      </c>
      <c r="R142" s="364">
        <v>2E-3</v>
      </c>
    </row>
    <row r="143" spans="1:18" s="265" customFormat="1" ht="12.75">
      <c r="A143" s="217" t="s">
        <v>659</v>
      </c>
      <c r="B143" s="217" t="s">
        <v>660</v>
      </c>
      <c r="C143" s="266" t="s">
        <v>661</v>
      </c>
      <c r="D143" s="189"/>
      <c r="E143" s="190"/>
      <c r="F143" s="323">
        <v>5</v>
      </c>
      <c r="G143" s="341">
        <v>24.97</v>
      </c>
      <c r="H143" s="341">
        <v>43.95</v>
      </c>
      <c r="I143" s="323" t="s">
        <v>1050</v>
      </c>
      <c r="J143" s="327">
        <v>3.1E-2</v>
      </c>
      <c r="K143" s="267">
        <v>140</v>
      </c>
      <c r="L143" s="267">
        <v>4.6700000000000008</v>
      </c>
      <c r="M143" s="268" t="s">
        <v>1023</v>
      </c>
      <c r="N143" s="267">
        <v>1.2E-2</v>
      </c>
      <c r="O143" s="269">
        <v>35</v>
      </c>
      <c r="P143" s="270">
        <v>1.1200000000000001</v>
      </c>
      <c r="Q143" s="270" t="s">
        <v>1051</v>
      </c>
      <c r="R143" s="269">
        <v>2.2000000000000001E-3</v>
      </c>
    </row>
    <row r="144" spans="1:18" s="265" customFormat="1" ht="12.75">
      <c r="A144" s="217" t="s">
        <v>662</v>
      </c>
      <c r="B144" s="217" t="s">
        <v>663</v>
      </c>
      <c r="C144" s="266" t="s">
        <v>15</v>
      </c>
      <c r="D144" s="189"/>
      <c r="E144" s="190"/>
      <c r="F144" s="323">
        <v>10</v>
      </c>
      <c r="G144" s="341">
        <v>37.47</v>
      </c>
      <c r="H144" s="341">
        <v>65.95</v>
      </c>
      <c r="I144" s="323" t="s">
        <v>1052</v>
      </c>
      <c r="J144" s="327">
        <v>4.3999999999999997E-2</v>
      </c>
      <c r="K144" s="267">
        <v>140</v>
      </c>
      <c r="L144" s="267">
        <v>6.3500000000000005</v>
      </c>
      <c r="M144" s="268" t="s">
        <v>1023</v>
      </c>
      <c r="N144" s="267">
        <v>1.2E-2</v>
      </c>
      <c r="O144" s="269">
        <v>35</v>
      </c>
      <c r="P144" s="270">
        <v>1.54</v>
      </c>
      <c r="Q144" s="270" t="s">
        <v>1053</v>
      </c>
      <c r="R144" s="269">
        <v>2.2000000000000001E-3</v>
      </c>
    </row>
    <row r="145" spans="1:18" s="265" customFormat="1" ht="12.75">
      <c r="A145" s="217" t="s">
        <v>664</v>
      </c>
      <c r="B145" s="217" t="s">
        <v>274</v>
      </c>
      <c r="C145" s="266" t="s">
        <v>665</v>
      </c>
      <c r="D145" s="189"/>
      <c r="E145" s="190"/>
      <c r="F145" s="323">
        <v>30</v>
      </c>
      <c r="G145" s="341">
        <v>81.22</v>
      </c>
      <c r="H145" s="341">
        <v>142.94999999999999</v>
      </c>
      <c r="I145" s="323" t="s">
        <v>1054</v>
      </c>
      <c r="J145" s="327">
        <v>8.4000000000000005E-2</v>
      </c>
      <c r="K145" s="267">
        <v>90</v>
      </c>
      <c r="L145" s="267">
        <v>8.31</v>
      </c>
      <c r="M145" s="268" t="s">
        <v>1021</v>
      </c>
      <c r="N145" s="267">
        <v>1.4E-2</v>
      </c>
      <c r="O145" s="269">
        <v>15</v>
      </c>
      <c r="P145" s="270">
        <v>1.34</v>
      </c>
      <c r="Q145" s="270" t="s">
        <v>1055</v>
      </c>
      <c r="R145" s="269">
        <v>2E-3</v>
      </c>
    </row>
    <row r="146" spans="1:18" s="265" customFormat="1" ht="12.75">
      <c r="A146" s="358" t="s">
        <v>1326</v>
      </c>
      <c r="B146" s="358" t="s">
        <v>1327</v>
      </c>
      <c r="C146" s="357" t="s">
        <v>1328</v>
      </c>
      <c r="D146" s="359"/>
      <c r="E146" s="360"/>
      <c r="F146" s="361">
        <v>5</v>
      </c>
      <c r="G146" s="362">
        <v>12.43</v>
      </c>
      <c r="H146" s="362">
        <v>21.88</v>
      </c>
      <c r="I146" s="361" t="s">
        <v>1050</v>
      </c>
      <c r="J146" s="363">
        <v>3.1E-2</v>
      </c>
      <c r="K146" s="364">
        <v>140</v>
      </c>
      <c r="L146" s="364">
        <v>4.6700000000000008</v>
      </c>
      <c r="M146" s="365" t="s">
        <v>1023</v>
      </c>
      <c r="N146" s="364">
        <v>1.2E-2</v>
      </c>
      <c r="O146" s="364">
        <v>35</v>
      </c>
      <c r="P146" s="365">
        <v>1.1200000000000001</v>
      </c>
      <c r="Q146" s="365" t="s">
        <v>1051</v>
      </c>
      <c r="R146" s="364">
        <v>2.2000000000000001E-3</v>
      </c>
    </row>
    <row r="147" spans="1:18" s="265" customFormat="1" ht="12.75">
      <c r="A147" s="358" t="s">
        <v>1329</v>
      </c>
      <c r="B147" s="358" t="s">
        <v>1330</v>
      </c>
      <c r="C147" s="357" t="s">
        <v>1331</v>
      </c>
      <c r="D147" s="359"/>
      <c r="E147" s="360"/>
      <c r="F147" s="361">
        <v>10</v>
      </c>
      <c r="G147" s="362">
        <v>20.18</v>
      </c>
      <c r="H147" s="362">
        <v>35.520000000000003</v>
      </c>
      <c r="I147" s="361" t="s">
        <v>1052</v>
      </c>
      <c r="J147" s="363">
        <v>4.3999999999999997E-2</v>
      </c>
      <c r="K147" s="364">
        <v>140</v>
      </c>
      <c r="L147" s="364">
        <v>6.3500000000000005</v>
      </c>
      <c r="M147" s="365" t="s">
        <v>1023</v>
      </c>
      <c r="N147" s="364">
        <v>1.2E-2</v>
      </c>
      <c r="O147" s="364">
        <v>35</v>
      </c>
      <c r="P147" s="365">
        <v>1.54</v>
      </c>
      <c r="Q147" s="365" t="s">
        <v>1053</v>
      </c>
      <c r="R147" s="364">
        <v>2.2000000000000001E-3</v>
      </c>
    </row>
    <row r="148" spans="1:18" s="265" customFormat="1" ht="12.75">
      <c r="A148" s="217" t="s">
        <v>666</v>
      </c>
      <c r="B148" s="217" t="s">
        <v>275</v>
      </c>
      <c r="C148" s="266" t="s">
        <v>667</v>
      </c>
      <c r="D148" s="189"/>
      <c r="E148" s="190"/>
      <c r="F148" s="323">
        <v>5</v>
      </c>
      <c r="G148" s="341">
        <v>8.49</v>
      </c>
      <c r="H148" s="341">
        <v>14.95</v>
      </c>
      <c r="I148" s="323" t="s">
        <v>1050</v>
      </c>
      <c r="J148" s="327">
        <v>3.1E-2</v>
      </c>
      <c r="K148" s="267">
        <v>140</v>
      </c>
      <c r="L148" s="267">
        <v>4.6700000000000008</v>
      </c>
      <c r="M148" s="268" t="s">
        <v>1023</v>
      </c>
      <c r="N148" s="267">
        <v>1.2E-2</v>
      </c>
      <c r="O148" s="269">
        <v>35</v>
      </c>
      <c r="P148" s="270">
        <v>1.1200000000000001</v>
      </c>
      <c r="Q148" s="270" t="s">
        <v>1051</v>
      </c>
      <c r="R148" s="269">
        <v>2.2000000000000001E-3</v>
      </c>
    </row>
    <row r="149" spans="1:18" s="265" customFormat="1" ht="12.75">
      <c r="A149" s="217" t="s">
        <v>668</v>
      </c>
      <c r="B149" s="217" t="s">
        <v>669</v>
      </c>
      <c r="C149" s="266" t="s">
        <v>16</v>
      </c>
      <c r="D149" s="189"/>
      <c r="E149" s="190"/>
      <c r="F149" s="323">
        <v>10</v>
      </c>
      <c r="G149" s="341">
        <v>13.04</v>
      </c>
      <c r="H149" s="341">
        <v>22.95</v>
      </c>
      <c r="I149" s="323" t="s">
        <v>1052</v>
      </c>
      <c r="J149" s="327">
        <v>4.3999999999999997E-2</v>
      </c>
      <c r="K149" s="267">
        <v>140</v>
      </c>
      <c r="L149" s="267">
        <v>6.3500000000000005</v>
      </c>
      <c r="M149" s="268" t="s">
        <v>1023</v>
      </c>
      <c r="N149" s="267">
        <v>1.2E-2</v>
      </c>
      <c r="O149" s="269">
        <v>35</v>
      </c>
      <c r="P149" s="270">
        <v>1.54</v>
      </c>
      <c r="Q149" s="270" t="s">
        <v>1053</v>
      </c>
      <c r="R149" s="269">
        <v>2.2000000000000001E-3</v>
      </c>
    </row>
    <row r="150" spans="1:18" s="265" customFormat="1" ht="12.75">
      <c r="A150" s="217" t="s">
        <v>670</v>
      </c>
      <c r="B150" s="217" t="s">
        <v>671</v>
      </c>
      <c r="C150" s="266" t="s">
        <v>672</v>
      </c>
      <c r="D150" s="189"/>
      <c r="E150" s="190"/>
      <c r="F150" s="323">
        <v>30</v>
      </c>
      <c r="G150" s="341">
        <v>28.38</v>
      </c>
      <c r="H150" s="341">
        <v>49.95</v>
      </c>
      <c r="I150" s="323" t="s">
        <v>1054</v>
      </c>
      <c r="J150" s="327">
        <v>8.4000000000000005E-2</v>
      </c>
      <c r="K150" s="267">
        <v>90</v>
      </c>
      <c r="L150" s="267">
        <v>8.31</v>
      </c>
      <c r="M150" s="268" t="s">
        <v>1021</v>
      </c>
      <c r="N150" s="267">
        <v>1.4E-2</v>
      </c>
      <c r="O150" s="269">
        <v>15</v>
      </c>
      <c r="P150" s="270">
        <v>1.34</v>
      </c>
      <c r="Q150" s="270" t="s">
        <v>1055</v>
      </c>
      <c r="R150" s="269">
        <v>2E-3</v>
      </c>
    </row>
    <row r="151" spans="1:18" s="265" customFormat="1" ht="12.75">
      <c r="A151" s="358" t="s">
        <v>673</v>
      </c>
      <c r="B151" s="358" t="s">
        <v>674</v>
      </c>
      <c r="C151" s="357" t="s">
        <v>279</v>
      </c>
      <c r="D151" s="359"/>
      <c r="E151" s="360"/>
      <c r="F151" s="361">
        <v>5</v>
      </c>
      <c r="G151" s="362">
        <v>11.34</v>
      </c>
      <c r="H151" s="362">
        <v>19.95</v>
      </c>
      <c r="I151" s="361" t="s">
        <v>1050</v>
      </c>
      <c r="J151" s="363">
        <v>3.1E-2</v>
      </c>
      <c r="K151" s="364">
        <v>140</v>
      </c>
      <c r="L151" s="364">
        <v>4.6700000000000008</v>
      </c>
      <c r="M151" s="365" t="s">
        <v>1023</v>
      </c>
      <c r="N151" s="364">
        <v>1.2E-2</v>
      </c>
      <c r="O151" s="364">
        <v>35</v>
      </c>
      <c r="P151" s="365">
        <v>1.1200000000000001</v>
      </c>
      <c r="Q151" s="365" t="s">
        <v>1051</v>
      </c>
      <c r="R151" s="364">
        <v>2.2000000000000001E-3</v>
      </c>
    </row>
    <row r="152" spans="1:18" s="265" customFormat="1" ht="12.75">
      <c r="A152" s="358" t="s">
        <v>675</v>
      </c>
      <c r="B152" s="358" t="s">
        <v>676</v>
      </c>
      <c r="C152" s="357" t="s">
        <v>17</v>
      </c>
      <c r="D152" s="359"/>
      <c r="E152" s="360"/>
      <c r="F152" s="361">
        <v>10</v>
      </c>
      <c r="G152" s="362">
        <v>17.02</v>
      </c>
      <c r="H152" s="362">
        <v>29.95</v>
      </c>
      <c r="I152" s="361" t="s">
        <v>1052</v>
      </c>
      <c r="J152" s="363">
        <v>4.3999999999999997E-2</v>
      </c>
      <c r="K152" s="364">
        <v>140</v>
      </c>
      <c r="L152" s="364">
        <v>6.3500000000000005</v>
      </c>
      <c r="M152" s="365" t="s">
        <v>1023</v>
      </c>
      <c r="N152" s="364">
        <v>1.2E-2</v>
      </c>
      <c r="O152" s="364">
        <v>35</v>
      </c>
      <c r="P152" s="365">
        <v>1.54</v>
      </c>
      <c r="Q152" s="365" t="s">
        <v>1053</v>
      </c>
      <c r="R152" s="364">
        <v>2.2000000000000001E-3</v>
      </c>
    </row>
    <row r="153" spans="1:18" s="265" customFormat="1" ht="12.75">
      <c r="A153" s="358" t="s">
        <v>677</v>
      </c>
      <c r="B153" s="358" t="s">
        <v>678</v>
      </c>
      <c r="C153" s="357" t="s">
        <v>679</v>
      </c>
      <c r="D153" s="359"/>
      <c r="E153" s="360"/>
      <c r="F153" s="361">
        <v>30</v>
      </c>
      <c r="G153" s="362">
        <v>34.06</v>
      </c>
      <c r="H153" s="362">
        <v>59.95</v>
      </c>
      <c r="I153" s="361" t="s">
        <v>1054</v>
      </c>
      <c r="J153" s="363">
        <v>8.4000000000000005E-2</v>
      </c>
      <c r="K153" s="364">
        <v>90</v>
      </c>
      <c r="L153" s="364">
        <v>8.31</v>
      </c>
      <c r="M153" s="365" t="s">
        <v>1021</v>
      </c>
      <c r="N153" s="364">
        <v>1.4E-2</v>
      </c>
      <c r="O153" s="364">
        <v>15</v>
      </c>
      <c r="P153" s="365">
        <v>1.34</v>
      </c>
      <c r="Q153" s="365" t="s">
        <v>1055</v>
      </c>
      <c r="R153" s="364">
        <v>2E-3</v>
      </c>
    </row>
    <row r="154" spans="1:18" s="265" customFormat="1" ht="12.75">
      <c r="A154" s="217" t="s">
        <v>680</v>
      </c>
      <c r="B154" s="217" t="s">
        <v>282</v>
      </c>
      <c r="C154" s="266" t="s">
        <v>681</v>
      </c>
      <c r="D154" s="189"/>
      <c r="E154" s="190"/>
      <c r="F154" s="323">
        <v>5</v>
      </c>
      <c r="G154" s="341">
        <v>11.34</v>
      </c>
      <c r="H154" s="341">
        <v>19.95</v>
      </c>
      <c r="I154" s="323" t="s">
        <v>1050</v>
      </c>
      <c r="J154" s="327">
        <v>3.1E-2</v>
      </c>
      <c r="K154" s="267">
        <v>140</v>
      </c>
      <c r="L154" s="267">
        <v>4.6700000000000008</v>
      </c>
      <c r="M154" s="268" t="s">
        <v>1023</v>
      </c>
      <c r="N154" s="267">
        <v>1.2E-2</v>
      </c>
      <c r="O154" s="269">
        <v>35</v>
      </c>
      <c r="P154" s="270">
        <v>1.1200000000000001</v>
      </c>
      <c r="Q154" s="270" t="s">
        <v>1051</v>
      </c>
      <c r="R154" s="269">
        <v>2.2000000000000001E-3</v>
      </c>
    </row>
    <row r="155" spans="1:18" s="265" customFormat="1" ht="12.75">
      <c r="A155" s="217" t="s">
        <v>682</v>
      </c>
      <c r="B155" s="217" t="s">
        <v>683</v>
      </c>
      <c r="C155" s="266" t="s">
        <v>18</v>
      </c>
      <c r="D155" s="189"/>
      <c r="E155" s="190"/>
      <c r="F155" s="323">
        <v>10</v>
      </c>
      <c r="G155" s="341">
        <v>17.02</v>
      </c>
      <c r="H155" s="341">
        <v>29.95</v>
      </c>
      <c r="I155" s="323" t="s">
        <v>1052</v>
      </c>
      <c r="J155" s="327">
        <v>4.3999999999999997E-2</v>
      </c>
      <c r="K155" s="267">
        <v>140</v>
      </c>
      <c r="L155" s="267">
        <v>6.3500000000000005</v>
      </c>
      <c r="M155" s="268" t="s">
        <v>1023</v>
      </c>
      <c r="N155" s="267">
        <v>1.2E-2</v>
      </c>
      <c r="O155" s="269">
        <v>35</v>
      </c>
      <c r="P155" s="270">
        <v>1.54</v>
      </c>
      <c r="Q155" s="270" t="s">
        <v>1053</v>
      </c>
      <c r="R155" s="269">
        <v>2.2000000000000001E-3</v>
      </c>
    </row>
    <row r="156" spans="1:18" s="265" customFormat="1" ht="12.75">
      <c r="A156" s="217" t="s">
        <v>684</v>
      </c>
      <c r="B156" s="217" t="s">
        <v>685</v>
      </c>
      <c r="C156" s="266" t="s">
        <v>686</v>
      </c>
      <c r="D156" s="189"/>
      <c r="E156" s="190"/>
      <c r="F156" s="323">
        <v>30</v>
      </c>
      <c r="G156" s="341">
        <v>34.06</v>
      </c>
      <c r="H156" s="341">
        <v>59.95</v>
      </c>
      <c r="I156" s="323" t="s">
        <v>1054</v>
      </c>
      <c r="J156" s="327">
        <v>8.4000000000000005E-2</v>
      </c>
      <c r="K156" s="267">
        <v>90</v>
      </c>
      <c r="L156" s="267">
        <v>8.31</v>
      </c>
      <c r="M156" s="268" t="s">
        <v>1021</v>
      </c>
      <c r="N156" s="267">
        <v>1.4E-2</v>
      </c>
      <c r="O156" s="269">
        <v>15</v>
      </c>
      <c r="P156" s="270">
        <v>1.34</v>
      </c>
      <c r="Q156" s="270" t="s">
        <v>1055</v>
      </c>
      <c r="R156" s="269">
        <v>2E-3</v>
      </c>
    </row>
    <row r="157" spans="1:18" s="265" customFormat="1" ht="12.75">
      <c r="A157" s="358" t="s">
        <v>1332</v>
      </c>
      <c r="B157" s="358" t="s">
        <v>1333</v>
      </c>
      <c r="C157" s="357" t="s">
        <v>1334</v>
      </c>
      <c r="D157" s="359"/>
      <c r="E157" s="360"/>
      <c r="F157" s="361">
        <v>5</v>
      </c>
      <c r="G157" s="362">
        <v>13</v>
      </c>
      <c r="H157" s="362">
        <v>22.88</v>
      </c>
      <c r="I157" s="361" t="s">
        <v>1050</v>
      </c>
      <c r="J157" s="363">
        <v>3.1E-2</v>
      </c>
      <c r="K157" s="364">
        <v>140</v>
      </c>
      <c r="L157" s="364">
        <v>4.6700000000000008</v>
      </c>
      <c r="M157" s="365" t="s">
        <v>1023</v>
      </c>
      <c r="N157" s="364">
        <v>1.2E-2</v>
      </c>
      <c r="O157" s="364">
        <v>35</v>
      </c>
      <c r="P157" s="365">
        <v>1.1200000000000001</v>
      </c>
      <c r="Q157" s="365" t="s">
        <v>1051</v>
      </c>
      <c r="R157" s="364">
        <v>2.2000000000000001E-3</v>
      </c>
    </row>
    <row r="158" spans="1:18" s="265" customFormat="1" ht="12.75">
      <c r="A158" s="358" t="s">
        <v>1335</v>
      </c>
      <c r="B158" s="358" t="s">
        <v>1336</v>
      </c>
      <c r="C158" s="357" t="s">
        <v>1337</v>
      </c>
      <c r="D158" s="359"/>
      <c r="E158" s="360"/>
      <c r="F158" s="361">
        <v>10</v>
      </c>
      <c r="G158" s="362">
        <v>21.32</v>
      </c>
      <c r="H158" s="362">
        <v>37.520000000000003</v>
      </c>
      <c r="I158" s="361" t="s">
        <v>1052</v>
      </c>
      <c r="J158" s="363">
        <v>4.3999999999999997E-2</v>
      </c>
      <c r="K158" s="364">
        <v>140</v>
      </c>
      <c r="L158" s="364">
        <v>6.3500000000000005</v>
      </c>
      <c r="M158" s="365" t="s">
        <v>1023</v>
      </c>
      <c r="N158" s="364">
        <v>1.2E-2</v>
      </c>
      <c r="O158" s="364">
        <v>35</v>
      </c>
      <c r="P158" s="365">
        <v>1.54</v>
      </c>
      <c r="Q158" s="365" t="s">
        <v>1053</v>
      </c>
      <c r="R158" s="364">
        <v>2.2000000000000001E-3</v>
      </c>
    </row>
    <row r="159" spans="1:18" s="265" customFormat="1" ht="12.75">
      <c r="A159" s="217" t="s">
        <v>687</v>
      </c>
      <c r="B159" s="217" t="s">
        <v>688</v>
      </c>
      <c r="C159" s="266" t="s">
        <v>19</v>
      </c>
      <c r="D159" s="189"/>
      <c r="E159" s="190"/>
      <c r="F159" s="323">
        <v>2</v>
      </c>
      <c r="G159" s="341">
        <v>28.38</v>
      </c>
      <c r="H159" s="341">
        <v>49.95</v>
      </c>
      <c r="I159" s="323" t="s">
        <v>1050</v>
      </c>
      <c r="J159" s="327">
        <v>2.8000000000000001E-2</v>
      </c>
      <c r="K159" s="267">
        <v>140</v>
      </c>
      <c r="L159" s="267">
        <v>4.3100000000000005</v>
      </c>
      <c r="M159" s="268" t="s">
        <v>1023</v>
      </c>
      <c r="N159" s="267">
        <v>1.2E-2</v>
      </c>
      <c r="O159" s="269">
        <v>35</v>
      </c>
      <c r="P159" s="270">
        <v>1.03</v>
      </c>
      <c r="Q159" s="270" t="s">
        <v>1051</v>
      </c>
      <c r="R159" s="269">
        <v>2.2000000000000001E-3</v>
      </c>
    </row>
    <row r="160" spans="1:18" s="265" customFormat="1" ht="12.75">
      <c r="A160" s="217" t="s">
        <v>689</v>
      </c>
      <c r="B160" s="217" t="s">
        <v>690</v>
      </c>
      <c r="C160" s="266" t="s">
        <v>691</v>
      </c>
      <c r="D160" s="189"/>
      <c r="E160" s="190"/>
      <c r="F160" s="323">
        <v>5</v>
      </c>
      <c r="G160" s="341">
        <v>56.79</v>
      </c>
      <c r="H160" s="341">
        <v>99.95</v>
      </c>
      <c r="I160" s="323" t="s">
        <v>1050</v>
      </c>
      <c r="J160" s="327">
        <v>3.1E-2</v>
      </c>
      <c r="K160" s="267">
        <v>140</v>
      </c>
      <c r="L160" s="267">
        <v>4.6700000000000008</v>
      </c>
      <c r="M160" s="268" t="s">
        <v>1023</v>
      </c>
      <c r="N160" s="267">
        <v>1.2E-2</v>
      </c>
      <c r="O160" s="269">
        <v>35</v>
      </c>
      <c r="P160" s="270">
        <v>1.1200000000000001</v>
      </c>
      <c r="Q160" s="270" t="s">
        <v>1051</v>
      </c>
      <c r="R160" s="269">
        <v>2.2000000000000001E-3</v>
      </c>
    </row>
    <row r="161" spans="1:18" s="265" customFormat="1" ht="12.75">
      <c r="A161" s="217" t="s">
        <v>692</v>
      </c>
      <c r="B161" s="217" t="s">
        <v>693</v>
      </c>
      <c r="C161" s="266" t="s">
        <v>20</v>
      </c>
      <c r="D161" s="189"/>
      <c r="E161" s="190"/>
      <c r="F161" s="323">
        <v>10</v>
      </c>
      <c r="G161" s="341">
        <v>90.88</v>
      </c>
      <c r="H161" s="341">
        <v>159.94999999999999</v>
      </c>
      <c r="I161" s="323" t="s">
        <v>1052</v>
      </c>
      <c r="J161" s="327">
        <v>4.3999999999999997E-2</v>
      </c>
      <c r="K161" s="267">
        <v>140</v>
      </c>
      <c r="L161" s="267">
        <v>6.3500000000000005</v>
      </c>
      <c r="M161" s="268" t="s">
        <v>1023</v>
      </c>
      <c r="N161" s="267">
        <v>1.2E-2</v>
      </c>
      <c r="O161" s="269">
        <v>35</v>
      </c>
      <c r="P161" s="270">
        <v>1.54</v>
      </c>
      <c r="Q161" s="270" t="s">
        <v>1053</v>
      </c>
      <c r="R161" s="269">
        <v>2.2000000000000001E-3</v>
      </c>
    </row>
    <row r="162" spans="1:18" s="265" customFormat="1" ht="12.75">
      <c r="A162" s="217" t="s">
        <v>694</v>
      </c>
      <c r="B162" s="217" t="s">
        <v>695</v>
      </c>
      <c r="C162" s="266" t="s">
        <v>696</v>
      </c>
      <c r="D162" s="189"/>
      <c r="E162" s="190"/>
      <c r="F162" s="323">
        <v>30</v>
      </c>
      <c r="G162" s="341">
        <v>204.52</v>
      </c>
      <c r="H162" s="341">
        <v>359.95</v>
      </c>
      <c r="I162" s="323" t="s">
        <v>1054</v>
      </c>
      <c r="J162" s="327">
        <v>8.4000000000000005E-2</v>
      </c>
      <c r="K162" s="267">
        <v>90</v>
      </c>
      <c r="L162" s="267">
        <v>8.31</v>
      </c>
      <c r="M162" s="268" t="s">
        <v>1021</v>
      </c>
      <c r="N162" s="267">
        <v>1.4E-2</v>
      </c>
      <c r="O162" s="269">
        <v>15</v>
      </c>
      <c r="P162" s="270">
        <v>1.34</v>
      </c>
      <c r="Q162" s="270" t="s">
        <v>1055</v>
      </c>
      <c r="R162" s="269">
        <v>2E-3</v>
      </c>
    </row>
    <row r="163" spans="1:18" s="265" customFormat="1" ht="12.75">
      <c r="A163" s="358" t="s">
        <v>697</v>
      </c>
      <c r="B163" s="358" t="s">
        <v>289</v>
      </c>
      <c r="C163" s="357" t="s">
        <v>21</v>
      </c>
      <c r="D163" s="359"/>
      <c r="E163" s="360"/>
      <c r="F163" s="361">
        <v>2</v>
      </c>
      <c r="G163" s="362">
        <v>45.43</v>
      </c>
      <c r="H163" s="362">
        <v>79.95</v>
      </c>
      <c r="I163" s="361" t="s">
        <v>1050</v>
      </c>
      <c r="J163" s="363">
        <v>2.8000000000000001E-2</v>
      </c>
      <c r="K163" s="364">
        <v>140</v>
      </c>
      <c r="L163" s="364">
        <v>4.3100000000000005</v>
      </c>
      <c r="M163" s="365" t="s">
        <v>1023</v>
      </c>
      <c r="N163" s="364">
        <v>1.2E-2</v>
      </c>
      <c r="O163" s="364">
        <v>35</v>
      </c>
      <c r="P163" s="365">
        <v>1.03</v>
      </c>
      <c r="Q163" s="365" t="s">
        <v>1051</v>
      </c>
      <c r="R163" s="364">
        <v>2.2000000000000001E-3</v>
      </c>
    </row>
    <row r="164" spans="1:18" s="265" customFormat="1" ht="12.75">
      <c r="A164" s="358" t="s">
        <v>698</v>
      </c>
      <c r="B164" s="358" t="s">
        <v>699</v>
      </c>
      <c r="C164" s="357" t="s">
        <v>700</v>
      </c>
      <c r="D164" s="359"/>
      <c r="E164" s="360"/>
      <c r="F164" s="361">
        <v>5</v>
      </c>
      <c r="G164" s="362">
        <v>102.24</v>
      </c>
      <c r="H164" s="362">
        <v>179.95</v>
      </c>
      <c r="I164" s="361" t="s">
        <v>1050</v>
      </c>
      <c r="J164" s="363">
        <v>3.1E-2</v>
      </c>
      <c r="K164" s="364">
        <v>140</v>
      </c>
      <c r="L164" s="364">
        <v>4.6700000000000008</v>
      </c>
      <c r="M164" s="365" t="s">
        <v>1023</v>
      </c>
      <c r="N164" s="364">
        <v>1.2E-2</v>
      </c>
      <c r="O164" s="364">
        <v>35</v>
      </c>
      <c r="P164" s="365">
        <v>1.1200000000000001</v>
      </c>
      <c r="Q164" s="365" t="s">
        <v>1051</v>
      </c>
      <c r="R164" s="364">
        <v>2.2000000000000001E-3</v>
      </c>
    </row>
    <row r="165" spans="1:18" s="265" customFormat="1" ht="12.75">
      <c r="A165" s="358" t="s">
        <v>701</v>
      </c>
      <c r="B165" s="358" t="s">
        <v>702</v>
      </c>
      <c r="C165" s="357" t="s">
        <v>22</v>
      </c>
      <c r="D165" s="359"/>
      <c r="E165" s="360"/>
      <c r="F165" s="361">
        <v>10</v>
      </c>
      <c r="G165" s="362">
        <v>198.84</v>
      </c>
      <c r="H165" s="362">
        <v>349.95</v>
      </c>
      <c r="I165" s="361" t="s">
        <v>1052</v>
      </c>
      <c r="J165" s="363">
        <v>4.3999999999999997E-2</v>
      </c>
      <c r="K165" s="364">
        <v>140</v>
      </c>
      <c r="L165" s="364">
        <v>6.3500000000000005</v>
      </c>
      <c r="M165" s="365" t="s">
        <v>1023</v>
      </c>
      <c r="N165" s="364">
        <v>1.2E-2</v>
      </c>
      <c r="O165" s="364">
        <v>35</v>
      </c>
      <c r="P165" s="365">
        <v>1.54</v>
      </c>
      <c r="Q165" s="365" t="s">
        <v>1053</v>
      </c>
      <c r="R165" s="364">
        <v>2.2000000000000001E-3</v>
      </c>
    </row>
    <row r="166" spans="1:18" s="265" customFormat="1" ht="12.75">
      <c r="A166" s="358" t="s">
        <v>703</v>
      </c>
      <c r="B166" s="358" t="s">
        <v>704</v>
      </c>
      <c r="C166" s="357" t="s">
        <v>705</v>
      </c>
      <c r="D166" s="359"/>
      <c r="E166" s="360"/>
      <c r="F166" s="361">
        <v>30</v>
      </c>
      <c r="G166" s="362">
        <v>495</v>
      </c>
      <c r="H166" s="362">
        <v>639.95000000000005</v>
      </c>
      <c r="I166" s="361" t="s">
        <v>1054</v>
      </c>
      <c r="J166" s="363">
        <v>8.4000000000000005E-2</v>
      </c>
      <c r="K166" s="364">
        <v>90</v>
      </c>
      <c r="L166" s="364">
        <v>8.31</v>
      </c>
      <c r="M166" s="365" t="s">
        <v>1021</v>
      </c>
      <c r="N166" s="364">
        <v>1.4E-2</v>
      </c>
      <c r="O166" s="364">
        <v>15</v>
      </c>
      <c r="P166" s="365">
        <v>1.34</v>
      </c>
      <c r="Q166" s="365" t="s">
        <v>1055</v>
      </c>
      <c r="R166" s="364">
        <v>2E-3</v>
      </c>
    </row>
    <row r="167" spans="1:18" s="265" customFormat="1" ht="12.75">
      <c r="A167" s="217" t="s">
        <v>706</v>
      </c>
      <c r="B167" s="217" t="s">
        <v>707</v>
      </c>
      <c r="C167" s="266" t="s">
        <v>294</v>
      </c>
      <c r="D167" s="189"/>
      <c r="E167" s="190"/>
      <c r="F167" s="323">
        <v>5</v>
      </c>
      <c r="G167" s="341">
        <v>15.31</v>
      </c>
      <c r="H167" s="341">
        <v>26.95</v>
      </c>
      <c r="I167" s="323" t="s">
        <v>1050</v>
      </c>
      <c r="J167" s="327">
        <v>3.1E-2</v>
      </c>
      <c r="K167" s="267">
        <v>140</v>
      </c>
      <c r="L167" s="267">
        <v>4.6700000000000008</v>
      </c>
      <c r="M167" s="268" t="s">
        <v>1023</v>
      </c>
      <c r="N167" s="267">
        <v>1.2E-2</v>
      </c>
      <c r="O167" s="269">
        <v>35</v>
      </c>
      <c r="P167" s="270">
        <v>1.1200000000000001</v>
      </c>
      <c r="Q167" s="270" t="s">
        <v>1051</v>
      </c>
      <c r="R167" s="269">
        <v>2.2000000000000001E-3</v>
      </c>
    </row>
    <row r="168" spans="1:18" s="265" customFormat="1" ht="12.75">
      <c r="A168" s="217" t="s">
        <v>708</v>
      </c>
      <c r="B168" s="217" t="s">
        <v>709</v>
      </c>
      <c r="C168" s="266" t="s">
        <v>23</v>
      </c>
      <c r="D168" s="189"/>
      <c r="E168" s="190"/>
      <c r="F168" s="323">
        <v>10</v>
      </c>
      <c r="G168" s="341">
        <v>22.7</v>
      </c>
      <c r="H168" s="341">
        <v>39.950000000000003</v>
      </c>
      <c r="I168" s="323" t="s">
        <v>1052</v>
      </c>
      <c r="J168" s="327">
        <v>4.3999999999999997E-2</v>
      </c>
      <c r="K168" s="267">
        <v>140</v>
      </c>
      <c r="L168" s="267">
        <v>6.3500000000000005</v>
      </c>
      <c r="M168" s="268" t="s">
        <v>1023</v>
      </c>
      <c r="N168" s="267">
        <v>1.2E-2</v>
      </c>
      <c r="O168" s="269">
        <v>35</v>
      </c>
      <c r="P168" s="270">
        <v>1.54</v>
      </c>
      <c r="Q168" s="270" t="s">
        <v>1053</v>
      </c>
      <c r="R168" s="269">
        <v>2.2000000000000001E-3</v>
      </c>
    </row>
    <row r="169" spans="1:18" s="265" customFormat="1" ht="12.75">
      <c r="A169" s="217" t="s">
        <v>710</v>
      </c>
      <c r="B169" s="217" t="s">
        <v>711</v>
      </c>
      <c r="C169" s="266" t="s">
        <v>712</v>
      </c>
      <c r="D169" s="189"/>
      <c r="E169" s="190"/>
      <c r="F169" s="323">
        <v>30</v>
      </c>
      <c r="G169" s="341">
        <v>51.11</v>
      </c>
      <c r="H169" s="341">
        <v>89.95</v>
      </c>
      <c r="I169" s="323" t="s">
        <v>1054</v>
      </c>
      <c r="J169" s="327">
        <v>8.4000000000000005E-2</v>
      </c>
      <c r="K169" s="267">
        <v>90</v>
      </c>
      <c r="L169" s="267">
        <v>8.31</v>
      </c>
      <c r="M169" s="268" t="s">
        <v>1021</v>
      </c>
      <c r="N169" s="267">
        <v>1.4E-2</v>
      </c>
      <c r="O169" s="269">
        <v>15</v>
      </c>
      <c r="P169" s="270">
        <v>1.34</v>
      </c>
      <c r="Q169" s="270" t="s">
        <v>1055</v>
      </c>
      <c r="R169" s="269">
        <v>2E-3</v>
      </c>
    </row>
    <row r="170" spans="1:18" s="265" customFormat="1" ht="12.75">
      <c r="A170" s="358" t="s">
        <v>713</v>
      </c>
      <c r="B170" s="358" t="s">
        <v>714</v>
      </c>
      <c r="C170" s="357" t="s">
        <v>715</v>
      </c>
      <c r="D170" s="359"/>
      <c r="E170" s="360"/>
      <c r="F170" s="361">
        <v>5</v>
      </c>
      <c r="G170" s="362">
        <v>4.5199999999999996</v>
      </c>
      <c r="H170" s="362">
        <v>7.95</v>
      </c>
      <c r="I170" s="361" t="s">
        <v>1050</v>
      </c>
      <c r="J170" s="363">
        <v>3.1E-2</v>
      </c>
      <c r="K170" s="364">
        <v>140</v>
      </c>
      <c r="L170" s="364">
        <v>4.6700000000000008</v>
      </c>
      <c r="M170" s="365" t="s">
        <v>1023</v>
      </c>
      <c r="N170" s="364">
        <v>1.2E-2</v>
      </c>
      <c r="O170" s="364">
        <v>35</v>
      </c>
      <c r="P170" s="365">
        <v>1.1200000000000001</v>
      </c>
      <c r="Q170" s="365" t="s">
        <v>1051</v>
      </c>
      <c r="R170" s="364">
        <v>2.2000000000000001E-3</v>
      </c>
    </row>
    <row r="171" spans="1:18" s="265" customFormat="1" ht="12.75">
      <c r="A171" s="358" t="s">
        <v>716</v>
      </c>
      <c r="B171" s="358" t="s">
        <v>717</v>
      </c>
      <c r="C171" s="357" t="s">
        <v>24</v>
      </c>
      <c r="D171" s="359"/>
      <c r="E171" s="360"/>
      <c r="F171" s="361">
        <v>10</v>
      </c>
      <c r="G171" s="362">
        <v>6.79</v>
      </c>
      <c r="H171" s="362">
        <v>11.95</v>
      </c>
      <c r="I171" s="361" t="s">
        <v>1052</v>
      </c>
      <c r="J171" s="363">
        <v>4.3999999999999997E-2</v>
      </c>
      <c r="K171" s="364">
        <v>140</v>
      </c>
      <c r="L171" s="364">
        <v>6.3500000000000005</v>
      </c>
      <c r="M171" s="365" t="s">
        <v>1023</v>
      </c>
      <c r="N171" s="364">
        <v>1.2E-2</v>
      </c>
      <c r="O171" s="364">
        <v>35</v>
      </c>
      <c r="P171" s="365">
        <v>1.54</v>
      </c>
      <c r="Q171" s="365" t="s">
        <v>1053</v>
      </c>
      <c r="R171" s="364">
        <v>2.2000000000000001E-3</v>
      </c>
    </row>
    <row r="172" spans="1:18" s="265" customFormat="1" ht="12.75">
      <c r="A172" s="358" t="s">
        <v>718</v>
      </c>
      <c r="B172" s="358" t="s">
        <v>719</v>
      </c>
      <c r="C172" s="357" t="s">
        <v>720</v>
      </c>
      <c r="D172" s="359"/>
      <c r="E172" s="360"/>
      <c r="F172" s="361">
        <v>30</v>
      </c>
      <c r="G172" s="362">
        <v>13.04</v>
      </c>
      <c r="H172" s="362">
        <v>22.95</v>
      </c>
      <c r="I172" s="361" t="s">
        <v>1054</v>
      </c>
      <c r="J172" s="363">
        <v>8.4000000000000005E-2</v>
      </c>
      <c r="K172" s="364">
        <v>90</v>
      </c>
      <c r="L172" s="364">
        <v>8.31</v>
      </c>
      <c r="M172" s="365" t="s">
        <v>1021</v>
      </c>
      <c r="N172" s="364">
        <v>1.4E-2</v>
      </c>
      <c r="O172" s="364">
        <v>15</v>
      </c>
      <c r="P172" s="365">
        <v>1.34</v>
      </c>
      <c r="Q172" s="365" t="s">
        <v>1055</v>
      </c>
      <c r="R172" s="364">
        <v>2E-3</v>
      </c>
    </row>
    <row r="173" spans="1:18" s="265" customFormat="1" ht="12.75">
      <c r="A173" s="217" t="s">
        <v>721</v>
      </c>
      <c r="B173" s="217" t="s">
        <v>722</v>
      </c>
      <c r="C173" s="266" t="s">
        <v>723</v>
      </c>
      <c r="D173" s="189"/>
      <c r="E173" s="190"/>
      <c r="F173" s="323">
        <v>5</v>
      </c>
      <c r="G173" s="341">
        <v>5.65</v>
      </c>
      <c r="H173" s="341">
        <v>9.9499999999999993</v>
      </c>
      <c r="I173" s="323" t="s">
        <v>1050</v>
      </c>
      <c r="J173" s="327">
        <v>3.1E-2</v>
      </c>
      <c r="K173" s="267">
        <v>140</v>
      </c>
      <c r="L173" s="267">
        <v>4.6700000000000008</v>
      </c>
      <c r="M173" s="268" t="s">
        <v>1023</v>
      </c>
      <c r="N173" s="267">
        <v>1.2E-2</v>
      </c>
      <c r="O173" s="269">
        <v>35</v>
      </c>
      <c r="P173" s="270">
        <v>1.1200000000000001</v>
      </c>
      <c r="Q173" s="270" t="s">
        <v>1051</v>
      </c>
      <c r="R173" s="269">
        <v>2.2000000000000001E-3</v>
      </c>
    </row>
    <row r="174" spans="1:18" s="265" customFormat="1" ht="12.75">
      <c r="A174" s="217" t="s">
        <v>724</v>
      </c>
      <c r="B174" s="217" t="s">
        <v>725</v>
      </c>
      <c r="C174" s="266" t="s">
        <v>25</v>
      </c>
      <c r="D174" s="189"/>
      <c r="E174" s="190"/>
      <c r="F174" s="323">
        <v>10</v>
      </c>
      <c r="G174" s="341">
        <v>8.49</v>
      </c>
      <c r="H174" s="341">
        <v>14.95</v>
      </c>
      <c r="I174" s="323" t="s">
        <v>1052</v>
      </c>
      <c r="J174" s="327">
        <v>4.3999999999999997E-2</v>
      </c>
      <c r="K174" s="267">
        <v>140</v>
      </c>
      <c r="L174" s="267">
        <v>6.3500000000000005</v>
      </c>
      <c r="M174" s="268" t="s">
        <v>1023</v>
      </c>
      <c r="N174" s="267">
        <v>1.2E-2</v>
      </c>
      <c r="O174" s="269">
        <v>35</v>
      </c>
      <c r="P174" s="270">
        <v>1.54</v>
      </c>
      <c r="Q174" s="270" t="s">
        <v>1053</v>
      </c>
      <c r="R174" s="269">
        <v>2.2000000000000001E-3</v>
      </c>
    </row>
    <row r="175" spans="1:18" s="265" customFormat="1" ht="12.75">
      <c r="A175" s="217" t="s">
        <v>726</v>
      </c>
      <c r="B175" s="217" t="s">
        <v>727</v>
      </c>
      <c r="C175" s="266" t="s">
        <v>728</v>
      </c>
      <c r="D175" s="189"/>
      <c r="E175" s="190"/>
      <c r="F175" s="323">
        <v>30</v>
      </c>
      <c r="G175" s="341">
        <v>17.02</v>
      </c>
      <c r="H175" s="341">
        <v>29.95</v>
      </c>
      <c r="I175" s="323" t="s">
        <v>1054</v>
      </c>
      <c r="J175" s="327">
        <v>8.4000000000000005E-2</v>
      </c>
      <c r="K175" s="267">
        <v>90</v>
      </c>
      <c r="L175" s="267">
        <v>8.31</v>
      </c>
      <c r="M175" s="268" t="s">
        <v>1021</v>
      </c>
      <c r="N175" s="267">
        <v>1.4E-2</v>
      </c>
      <c r="O175" s="269">
        <v>15</v>
      </c>
      <c r="P175" s="270">
        <v>1.34</v>
      </c>
      <c r="Q175" s="270" t="s">
        <v>1055</v>
      </c>
      <c r="R175" s="269">
        <v>2E-3</v>
      </c>
    </row>
    <row r="176" spans="1:18" s="265" customFormat="1" ht="12.75">
      <c r="A176" s="358" t="s">
        <v>729</v>
      </c>
      <c r="B176" s="358" t="s">
        <v>730</v>
      </c>
      <c r="C176" s="357" t="s">
        <v>731</v>
      </c>
      <c r="D176" s="359"/>
      <c r="E176" s="360"/>
      <c r="F176" s="361">
        <v>5</v>
      </c>
      <c r="G176" s="362">
        <v>5.09</v>
      </c>
      <c r="H176" s="362">
        <v>8.9499999999999993</v>
      </c>
      <c r="I176" s="361" t="s">
        <v>1050</v>
      </c>
      <c r="J176" s="363">
        <v>3.1E-2</v>
      </c>
      <c r="K176" s="364">
        <v>140</v>
      </c>
      <c r="L176" s="364">
        <v>4.6700000000000008</v>
      </c>
      <c r="M176" s="365" t="s">
        <v>1023</v>
      </c>
      <c r="N176" s="364">
        <v>1.2E-2</v>
      </c>
      <c r="O176" s="364">
        <v>35</v>
      </c>
      <c r="P176" s="365">
        <v>1.1200000000000001</v>
      </c>
      <c r="Q176" s="365" t="s">
        <v>1051</v>
      </c>
      <c r="R176" s="364">
        <v>2.2000000000000001E-3</v>
      </c>
    </row>
    <row r="177" spans="1:18" s="265" customFormat="1" ht="12.75">
      <c r="A177" s="358" t="s">
        <v>732</v>
      </c>
      <c r="B177" s="358" t="s">
        <v>733</v>
      </c>
      <c r="C177" s="357" t="s">
        <v>26</v>
      </c>
      <c r="D177" s="359"/>
      <c r="E177" s="360"/>
      <c r="F177" s="361">
        <v>10</v>
      </c>
      <c r="G177" s="362">
        <v>7.93</v>
      </c>
      <c r="H177" s="362">
        <v>13.95</v>
      </c>
      <c r="I177" s="361" t="s">
        <v>1052</v>
      </c>
      <c r="J177" s="363">
        <v>4.3999999999999997E-2</v>
      </c>
      <c r="K177" s="364">
        <v>140</v>
      </c>
      <c r="L177" s="364">
        <v>6.3500000000000005</v>
      </c>
      <c r="M177" s="365" t="s">
        <v>1023</v>
      </c>
      <c r="N177" s="364">
        <v>1.2E-2</v>
      </c>
      <c r="O177" s="364">
        <v>35</v>
      </c>
      <c r="P177" s="365">
        <v>1.54</v>
      </c>
      <c r="Q177" s="365" t="s">
        <v>1053</v>
      </c>
      <c r="R177" s="364">
        <v>2.2000000000000001E-3</v>
      </c>
    </row>
    <row r="178" spans="1:18" s="265" customFormat="1" ht="12.75">
      <c r="A178" s="358" t="s">
        <v>734</v>
      </c>
      <c r="B178" s="358" t="s">
        <v>735</v>
      </c>
      <c r="C178" s="357" t="s">
        <v>736</v>
      </c>
      <c r="D178" s="359"/>
      <c r="E178" s="360"/>
      <c r="F178" s="361">
        <v>30</v>
      </c>
      <c r="G178" s="362">
        <v>15.31</v>
      </c>
      <c r="H178" s="362">
        <v>26.95</v>
      </c>
      <c r="I178" s="361" t="s">
        <v>1054</v>
      </c>
      <c r="J178" s="363">
        <v>8.4000000000000005E-2</v>
      </c>
      <c r="K178" s="364">
        <v>90</v>
      </c>
      <c r="L178" s="364">
        <v>8.31</v>
      </c>
      <c r="M178" s="365" t="s">
        <v>1021</v>
      </c>
      <c r="N178" s="364">
        <v>1.4E-2</v>
      </c>
      <c r="O178" s="364">
        <v>15</v>
      </c>
      <c r="P178" s="365">
        <v>1.34</v>
      </c>
      <c r="Q178" s="365" t="s">
        <v>1055</v>
      </c>
      <c r="R178" s="364">
        <v>2E-3</v>
      </c>
    </row>
    <row r="179" spans="1:18" s="265" customFormat="1" ht="12.75">
      <c r="A179" s="217" t="s">
        <v>737</v>
      </c>
      <c r="B179" s="217" t="s">
        <v>738</v>
      </c>
      <c r="C179" s="266" t="s">
        <v>739</v>
      </c>
      <c r="D179" s="189"/>
      <c r="E179" s="190"/>
      <c r="F179" s="323">
        <v>5</v>
      </c>
      <c r="G179" s="341">
        <v>7.36</v>
      </c>
      <c r="H179" s="341">
        <v>12.95</v>
      </c>
      <c r="I179" s="323" t="s">
        <v>1050</v>
      </c>
      <c r="J179" s="327">
        <v>3.1E-2</v>
      </c>
      <c r="K179" s="267">
        <v>140</v>
      </c>
      <c r="L179" s="267">
        <v>4.6700000000000008</v>
      </c>
      <c r="M179" s="268" t="s">
        <v>1023</v>
      </c>
      <c r="N179" s="267">
        <v>1.2E-2</v>
      </c>
      <c r="O179" s="269">
        <v>35</v>
      </c>
      <c r="P179" s="270">
        <v>1.1200000000000001</v>
      </c>
      <c r="Q179" s="270" t="s">
        <v>1051</v>
      </c>
      <c r="R179" s="269">
        <v>2.2000000000000001E-3</v>
      </c>
    </row>
    <row r="180" spans="1:18" s="265" customFormat="1" ht="12.75">
      <c r="A180" s="217" t="s">
        <v>740</v>
      </c>
      <c r="B180" s="217" t="s">
        <v>741</v>
      </c>
      <c r="C180" s="266" t="s">
        <v>27</v>
      </c>
      <c r="D180" s="189"/>
      <c r="E180" s="190"/>
      <c r="F180" s="323">
        <v>10</v>
      </c>
      <c r="G180" s="341">
        <v>11.34</v>
      </c>
      <c r="H180" s="341">
        <v>19.95</v>
      </c>
      <c r="I180" s="323" t="s">
        <v>1052</v>
      </c>
      <c r="J180" s="327">
        <v>4.3999999999999997E-2</v>
      </c>
      <c r="K180" s="267">
        <v>140</v>
      </c>
      <c r="L180" s="267">
        <v>6.3500000000000005</v>
      </c>
      <c r="M180" s="268" t="s">
        <v>1023</v>
      </c>
      <c r="N180" s="267">
        <v>1.2E-2</v>
      </c>
      <c r="O180" s="269">
        <v>35</v>
      </c>
      <c r="P180" s="270">
        <v>1.54</v>
      </c>
      <c r="Q180" s="270" t="s">
        <v>1053</v>
      </c>
      <c r="R180" s="269">
        <v>2.2000000000000001E-3</v>
      </c>
    </row>
    <row r="181" spans="1:18" s="265" customFormat="1" ht="12.75">
      <c r="A181" s="217" t="s">
        <v>742</v>
      </c>
      <c r="B181" s="217" t="s">
        <v>743</v>
      </c>
      <c r="C181" s="266" t="s">
        <v>744</v>
      </c>
      <c r="D181" s="189"/>
      <c r="E181" s="190"/>
      <c r="F181" s="323">
        <v>30</v>
      </c>
      <c r="G181" s="341">
        <v>26.11</v>
      </c>
      <c r="H181" s="341">
        <v>45.95</v>
      </c>
      <c r="I181" s="323" t="s">
        <v>1054</v>
      </c>
      <c r="J181" s="327">
        <v>8.4000000000000005E-2</v>
      </c>
      <c r="K181" s="267">
        <v>90</v>
      </c>
      <c r="L181" s="267">
        <v>8.31</v>
      </c>
      <c r="M181" s="268" t="s">
        <v>1021</v>
      </c>
      <c r="N181" s="267">
        <v>1.4E-2</v>
      </c>
      <c r="O181" s="269">
        <v>15</v>
      </c>
      <c r="P181" s="270">
        <v>1.34</v>
      </c>
      <c r="Q181" s="270" t="s">
        <v>1055</v>
      </c>
      <c r="R181" s="269">
        <v>2E-3</v>
      </c>
    </row>
    <row r="182" spans="1:18" s="265" customFormat="1" ht="12.75">
      <c r="A182" s="358" t="s">
        <v>745</v>
      </c>
      <c r="B182" s="358" t="s">
        <v>746</v>
      </c>
      <c r="C182" s="357" t="s">
        <v>747</v>
      </c>
      <c r="D182" s="359"/>
      <c r="E182" s="360"/>
      <c r="F182" s="361">
        <v>5</v>
      </c>
      <c r="G182" s="362">
        <v>5.09</v>
      </c>
      <c r="H182" s="362">
        <v>8.9499999999999993</v>
      </c>
      <c r="I182" s="361" t="s">
        <v>1050</v>
      </c>
      <c r="J182" s="363">
        <v>3.1E-2</v>
      </c>
      <c r="K182" s="364">
        <v>140</v>
      </c>
      <c r="L182" s="364">
        <v>4.6700000000000008</v>
      </c>
      <c r="M182" s="365" t="s">
        <v>1023</v>
      </c>
      <c r="N182" s="364">
        <v>1.2E-2</v>
      </c>
      <c r="O182" s="364">
        <v>35</v>
      </c>
      <c r="P182" s="365">
        <v>1.1200000000000001</v>
      </c>
      <c r="Q182" s="365" t="s">
        <v>1051</v>
      </c>
      <c r="R182" s="364">
        <v>2.2000000000000001E-3</v>
      </c>
    </row>
    <row r="183" spans="1:18" s="265" customFormat="1" ht="12.75">
      <c r="A183" s="358" t="s">
        <v>748</v>
      </c>
      <c r="B183" s="358" t="s">
        <v>749</v>
      </c>
      <c r="C183" s="357" t="s">
        <v>28</v>
      </c>
      <c r="D183" s="359"/>
      <c r="E183" s="360"/>
      <c r="F183" s="361">
        <v>10</v>
      </c>
      <c r="G183" s="362">
        <v>7.36</v>
      </c>
      <c r="H183" s="362">
        <v>12.95</v>
      </c>
      <c r="I183" s="361" t="s">
        <v>1052</v>
      </c>
      <c r="J183" s="363">
        <v>4.3999999999999997E-2</v>
      </c>
      <c r="K183" s="364">
        <v>140</v>
      </c>
      <c r="L183" s="364">
        <v>6.3500000000000005</v>
      </c>
      <c r="M183" s="365" t="s">
        <v>1023</v>
      </c>
      <c r="N183" s="364">
        <v>1.2E-2</v>
      </c>
      <c r="O183" s="364">
        <v>35</v>
      </c>
      <c r="P183" s="365">
        <v>1.54</v>
      </c>
      <c r="Q183" s="365" t="s">
        <v>1053</v>
      </c>
      <c r="R183" s="364">
        <v>2.2000000000000001E-3</v>
      </c>
    </row>
    <row r="184" spans="1:18" s="265" customFormat="1" ht="12.75">
      <c r="A184" s="358" t="s">
        <v>750</v>
      </c>
      <c r="B184" s="358" t="s">
        <v>751</v>
      </c>
      <c r="C184" s="357" t="s">
        <v>752</v>
      </c>
      <c r="D184" s="359"/>
      <c r="E184" s="360"/>
      <c r="F184" s="361">
        <v>30</v>
      </c>
      <c r="G184" s="362">
        <v>14.18</v>
      </c>
      <c r="H184" s="362">
        <v>24.95</v>
      </c>
      <c r="I184" s="361" t="s">
        <v>1054</v>
      </c>
      <c r="J184" s="363">
        <v>8.4000000000000005E-2</v>
      </c>
      <c r="K184" s="364">
        <v>90</v>
      </c>
      <c r="L184" s="364">
        <v>8.31</v>
      </c>
      <c r="M184" s="365" t="s">
        <v>1021</v>
      </c>
      <c r="N184" s="364">
        <v>1.4E-2</v>
      </c>
      <c r="O184" s="364">
        <v>15</v>
      </c>
      <c r="P184" s="365">
        <v>1.34</v>
      </c>
      <c r="Q184" s="365" t="s">
        <v>1055</v>
      </c>
      <c r="R184" s="364">
        <v>2E-3</v>
      </c>
    </row>
    <row r="185" spans="1:18" s="265" customFormat="1" ht="12.75">
      <c r="A185" s="217" t="s">
        <v>753</v>
      </c>
      <c r="B185" s="217" t="s">
        <v>754</v>
      </c>
      <c r="C185" s="266" t="s">
        <v>755</v>
      </c>
      <c r="D185" s="189"/>
      <c r="E185" s="190"/>
      <c r="F185" s="323">
        <v>5</v>
      </c>
      <c r="G185" s="341">
        <v>6.22</v>
      </c>
      <c r="H185" s="341">
        <v>10.95</v>
      </c>
      <c r="I185" s="323" t="s">
        <v>1050</v>
      </c>
      <c r="J185" s="327">
        <v>3.1E-2</v>
      </c>
      <c r="K185" s="267">
        <v>140</v>
      </c>
      <c r="L185" s="267">
        <v>4.6700000000000008</v>
      </c>
      <c r="M185" s="268" t="s">
        <v>1023</v>
      </c>
      <c r="N185" s="267">
        <v>1.2E-2</v>
      </c>
      <c r="O185" s="269">
        <v>35</v>
      </c>
      <c r="P185" s="270">
        <v>1.1200000000000001</v>
      </c>
      <c r="Q185" s="270" t="s">
        <v>1051</v>
      </c>
      <c r="R185" s="269">
        <v>2.2000000000000001E-3</v>
      </c>
    </row>
    <row r="186" spans="1:18" s="265" customFormat="1" ht="12.75">
      <c r="A186" s="217" t="s">
        <v>756</v>
      </c>
      <c r="B186" s="217" t="s">
        <v>757</v>
      </c>
      <c r="C186" s="266" t="s">
        <v>29</v>
      </c>
      <c r="D186" s="189"/>
      <c r="E186" s="190"/>
      <c r="F186" s="323">
        <v>10</v>
      </c>
      <c r="G186" s="341">
        <v>9.6300000000000008</v>
      </c>
      <c r="H186" s="341">
        <v>16.95</v>
      </c>
      <c r="I186" s="323" t="s">
        <v>1052</v>
      </c>
      <c r="J186" s="327">
        <v>4.3999999999999997E-2</v>
      </c>
      <c r="K186" s="267">
        <v>140</v>
      </c>
      <c r="L186" s="267">
        <v>6.3500000000000005</v>
      </c>
      <c r="M186" s="268" t="s">
        <v>1023</v>
      </c>
      <c r="N186" s="267">
        <v>1.2E-2</v>
      </c>
      <c r="O186" s="269">
        <v>35</v>
      </c>
      <c r="P186" s="270">
        <v>1.54</v>
      </c>
      <c r="Q186" s="270" t="s">
        <v>1053</v>
      </c>
      <c r="R186" s="269">
        <v>2.2000000000000001E-3</v>
      </c>
    </row>
    <row r="187" spans="1:18" s="265" customFormat="1" ht="12.75">
      <c r="A187" s="217" t="s">
        <v>758</v>
      </c>
      <c r="B187" s="217" t="s">
        <v>759</v>
      </c>
      <c r="C187" s="266" t="s">
        <v>760</v>
      </c>
      <c r="D187" s="189"/>
      <c r="E187" s="190"/>
      <c r="F187" s="323">
        <v>30</v>
      </c>
      <c r="G187" s="341">
        <v>19.86</v>
      </c>
      <c r="H187" s="341">
        <v>34.950000000000003</v>
      </c>
      <c r="I187" s="323" t="s">
        <v>1054</v>
      </c>
      <c r="J187" s="327">
        <v>8.4000000000000005E-2</v>
      </c>
      <c r="K187" s="267">
        <v>90</v>
      </c>
      <c r="L187" s="267">
        <v>8.31</v>
      </c>
      <c r="M187" s="268" t="s">
        <v>1021</v>
      </c>
      <c r="N187" s="267">
        <v>1.4E-2</v>
      </c>
      <c r="O187" s="269">
        <v>15</v>
      </c>
      <c r="P187" s="270">
        <v>1.34</v>
      </c>
      <c r="Q187" s="270" t="s">
        <v>1055</v>
      </c>
      <c r="R187" s="269">
        <v>2E-3</v>
      </c>
    </row>
    <row r="188" spans="1:18" s="265" customFormat="1" ht="12.75">
      <c r="A188" s="358" t="s">
        <v>761</v>
      </c>
      <c r="B188" s="358" t="s">
        <v>762</v>
      </c>
      <c r="C188" s="357" t="s">
        <v>763</v>
      </c>
      <c r="D188" s="359"/>
      <c r="E188" s="360"/>
      <c r="F188" s="361">
        <v>5</v>
      </c>
      <c r="G188" s="362">
        <v>5.65</v>
      </c>
      <c r="H188" s="362">
        <v>9.9499999999999993</v>
      </c>
      <c r="I188" s="361" t="s">
        <v>1050</v>
      </c>
      <c r="J188" s="363">
        <v>3.1E-2</v>
      </c>
      <c r="K188" s="364">
        <v>140</v>
      </c>
      <c r="L188" s="364">
        <v>4.6700000000000008</v>
      </c>
      <c r="M188" s="365" t="s">
        <v>1023</v>
      </c>
      <c r="N188" s="364">
        <v>1.2E-2</v>
      </c>
      <c r="O188" s="364">
        <v>35</v>
      </c>
      <c r="P188" s="365">
        <v>1.1200000000000001</v>
      </c>
      <c r="Q188" s="365" t="s">
        <v>1051</v>
      </c>
      <c r="R188" s="364">
        <v>2.2000000000000001E-3</v>
      </c>
    </row>
    <row r="189" spans="1:18" s="265" customFormat="1" ht="12.75">
      <c r="A189" s="358" t="s">
        <v>764</v>
      </c>
      <c r="B189" s="358" t="s">
        <v>765</v>
      </c>
      <c r="C189" s="357" t="s">
        <v>30</v>
      </c>
      <c r="D189" s="359"/>
      <c r="E189" s="360"/>
      <c r="F189" s="361">
        <v>10</v>
      </c>
      <c r="G189" s="362">
        <v>7.36</v>
      </c>
      <c r="H189" s="362">
        <v>12.95</v>
      </c>
      <c r="I189" s="361" t="s">
        <v>1052</v>
      </c>
      <c r="J189" s="363">
        <v>4.3999999999999997E-2</v>
      </c>
      <c r="K189" s="364">
        <v>140</v>
      </c>
      <c r="L189" s="364">
        <v>6.3500000000000005</v>
      </c>
      <c r="M189" s="365" t="s">
        <v>1023</v>
      </c>
      <c r="N189" s="364">
        <v>1.2E-2</v>
      </c>
      <c r="O189" s="364">
        <v>35</v>
      </c>
      <c r="P189" s="365">
        <v>1.54</v>
      </c>
      <c r="Q189" s="365" t="s">
        <v>1053</v>
      </c>
      <c r="R189" s="364">
        <v>2.2000000000000001E-3</v>
      </c>
    </row>
    <row r="190" spans="1:18" s="265" customFormat="1" ht="12.75">
      <c r="A190" s="358" t="s">
        <v>766</v>
      </c>
      <c r="B190" s="358" t="s">
        <v>767</v>
      </c>
      <c r="C190" s="357" t="s">
        <v>768</v>
      </c>
      <c r="D190" s="359"/>
      <c r="E190" s="360"/>
      <c r="F190" s="361">
        <v>30</v>
      </c>
      <c r="G190" s="362">
        <v>14.18</v>
      </c>
      <c r="H190" s="362">
        <v>24.95</v>
      </c>
      <c r="I190" s="361" t="s">
        <v>1054</v>
      </c>
      <c r="J190" s="363">
        <v>8.4000000000000005E-2</v>
      </c>
      <c r="K190" s="364">
        <v>90</v>
      </c>
      <c r="L190" s="364">
        <v>8.31</v>
      </c>
      <c r="M190" s="365" t="s">
        <v>1021</v>
      </c>
      <c r="N190" s="364">
        <v>1.4E-2</v>
      </c>
      <c r="O190" s="364">
        <v>15</v>
      </c>
      <c r="P190" s="365">
        <v>1.34</v>
      </c>
      <c r="Q190" s="365" t="s">
        <v>1055</v>
      </c>
      <c r="R190" s="364">
        <v>2E-3</v>
      </c>
    </row>
    <row r="191" spans="1:18" s="265" customFormat="1" ht="12.75">
      <c r="A191" s="217" t="s">
        <v>769</v>
      </c>
      <c r="B191" s="217" t="s">
        <v>770</v>
      </c>
      <c r="C191" s="266" t="s">
        <v>771</v>
      </c>
      <c r="D191" s="189"/>
      <c r="E191" s="190"/>
      <c r="F191" s="323">
        <v>5</v>
      </c>
      <c r="G191" s="341">
        <v>7.36</v>
      </c>
      <c r="H191" s="341">
        <v>12.95</v>
      </c>
      <c r="I191" s="323" t="s">
        <v>1050</v>
      </c>
      <c r="J191" s="327">
        <v>3.1E-2</v>
      </c>
      <c r="K191" s="267">
        <v>140</v>
      </c>
      <c r="L191" s="267">
        <v>4.6700000000000008</v>
      </c>
      <c r="M191" s="268" t="s">
        <v>1023</v>
      </c>
      <c r="N191" s="267">
        <v>1.2E-2</v>
      </c>
      <c r="O191" s="269">
        <v>35</v>
      </c>
      <c r="P191" s="270">
        <v>1.1200000000000001</v>
      </c>
      <c r="Q191" s="270" t="s">
        <v>1051</v>
      </c>
      <c r="R191" s="269">
        <v>2.2000000000000001E-3</v>
      </c>
    </row>
    <row r="192" spans="1:18" s="265" customFormat="1" ht="12.75">
      <c r="A192" s="217" t="s">
        <v>772</v>
      </c>
      <c r="B192" s="217" t="s">
        <v>773</v>
      </c>
      <c r="C192" s="266" t="s">
        <v>31</v>
      </c>
      <c r="D192" s="189"/>
      <c r="E192" s="190"/>
      <c r="F192" s="323">
        <v>10</v>
      </c>
      <c r="G192" s="341">
        <v>11.34</v>
      </c>
      <c r="H192" s="341">
        <v>19.95</v>
      </c>
      <c r="I192" s="323" t="s">
        <v>1052</v>
      </c>
      <c r="J192" s="327">
        <v>4.3999999999999997E-2</v>
      </c>
      <c r="K192" s="267">
        <v>140</v>
      </c>
      <c r="L192" s="267">
        <v>6.3500000000000005</v>
      </c>
      <c r="M192" s="268" t="s">
        <v>1023</v>
      </c>
      <c r="N192" s="267">
        <v>1.2E-2</v>
      </c>
      <c r="O192" s="269">
        <v>35</v>
      </c>
      <c r="P192" s="270">
        <v>1.54</v>
      </c>
      <c r="Q192" s="270" t="s">
        <v>1053</v>
      </c>
      <c r="R192" s="269">
        <v>2.2000000000000001E-3</v>
      </c>
    </row>
    <row r="193" spans="1:18" s="265" customFormat="1" ht="12.75">
      <c r="A193" s="217" t="s">
        <v>774</v>
      </c>
      <c r="B193" s="217" t="s">
        <v>775</v>
      </c>
      <c r="C193" s="266" t="s">
        <v>776</v>
      </c>
      <c r="D193" s="189"/>
      <c r="E193" s="190"/>
      <c r="F193" s="323">
        <v>30</v>
      </c>
      <c r="G193" s="341">
        <v>22.7</v>
      </c>
      <c r="H193" s="341">
        <v>39.950000000000003</v>
      </c>
      <c r="I193" s="323" t="s">
        <v>1054</v>
      </c>
      <c r="J193" s="327">
        <v>8.4000000000000005E-2</v>
      </c>
      <c r="K193" s="267">
        <v>90</v>
      </c>
      <c r="L193" s="267">
        <v>8.31</v>
      </c>
      <c r="M193" s="268" t="s">
        <v>1021</v>
      </c>
      <c r="N193" s="267">
        <v>1.4E-2</v>
      </c>
      <c r="O193" s="269">
        <v>15</v>
      </c>
      <c r="P193" s="270">
        <v>1.34</v>
      </c>
      <c r="Q193" s="270" t="s">
        <v>1055</v>
      </c>
      <c r="R193" s="269">
        <v>2E-3</v>
      </c>
    </row>
    <row r="194" spans="1:18" s="265" customFormat="1" ht="12.75">
      <c r="A194" s="358" t="s">
        <v>777</v>
      </c>
      <c r="B194" s="358" t="s">
        <v>778</v>
      </c>
      <c r="C194" s="357" t="s">
        <v>779</v>
      </c>
      <c r="D194" s="359"/>
      <c r="E194" s="360"/>
      <c r="F194" s="361">
        <v>5</v>
      </c>
      <c r="G194" s="362">
        <v>7.36</v>
      </c>
      <c r="H194" s="362">
        <v>12.95</v>
      </c>
      <c r="I194" s="361" t="s">
        <v>1050</v>
      </c>
      <c r="J194" s="363">
        <v>3.1E-2</v>
      </c>
      <c r="K194" s="364">
        <v>140</v>
      </c>
      <c r="L194" s="364">
        <v>4.6700000000000008</v>
      </c>
      <c r="M194" s="365" t="s">
        <v>1023</v>
      </c>
      <c r="N194" s="364">
        <v>1.2E-2</v>
      </c>
      <c r="O194" s="364">
        <v>35</v>
      </c>
      <c r="P194" s="365">
        <v>1.1200000000000001</v>
      </c>
      <c r="Q194" s="365" t="s">
        <v>1051</v>
      </c>
      <c r="R194" s="364">
        <v>2.2000000000000001E-3</v>
      </c>
    </row>
    <row r="195" spans="1:18" s="265" customFormat="1" ht="12.75">
      <c r="A195" s="358" t="s">
        <v>780</v>
      </c>
      <c r="B195" s="358" t="s">
        <v>781</v>
      </c>
      <c r="C195" s="357" t="s">
        <v>32</v>
      </c>
      <c r="D195" s="359"/>
      <c r="E195" s="360"/>
      <c r="F195" s="361">
        <v>10</v>
      </c>
      <c r="G195" s="362">
        <v>9.6300000000000008</v>
      </c>
      <c r="H195" s="362">
        <v>16.95</v>
      </c>
      <c r="I195" s="361" t="s">
        <v>1052</v>
      </c>
      <c r="J195" s="363">
        <v>4.3999999999999997E-2</v>
      </c>
      <c r="K195" s="364">
        <v>140</v>
      </c>
      <c r="L195" s="364">
        <v>6.3500000000000005</v>
      </c>
      <c r="M195" s="365" t="s">
        <v>1023</v>
      </c>
      <c r="N195" s="364">
        <v>1.2E-2</v>
      </c>
      <c r="O195" s="364">
        <v>35</v>
      </c>
      <c r="P195" s="365">
        <v>1.54</v>
      </c>
      <c r="Q195" s="365" t="s">
        <v>1053</v>
      </c>
      <c r="R195" s="364">
        <v>2.2000000000000001E-3</v>
      </c>
    </row>
    <row r="196" spans="1:18" s="265" customFormat="1" ht="12.75">
      <c r="A196" s="358" t="s">
        <v>782</v>
      </c>
      <c r="B196" s="358" t="s">
        <v>783</v>
      </c>
      <c r="C196" s="357" t="s">
        <v>784</v>
      </c>
      <c r="D196" s="359"/>
      <c r="E196" s="360"/>
      <c r="F196" s="361">
        <v>30</v>
      </c>
      <c r="G196" s="362">
        <v>22.7</v>
      </c>
      <c r="H196" s="362">
        <v>39.950000000000003</v>
      </c>
      <c r="I196" s="361" t="s">
        <v>1054</v>
      </c>
      <c r="J196" s="363">
        <v>8.4000000000000005E-2</v>
      </c>
      <c r="K196" s="364">
        <v>90</v>
      </c>
      <c r="L196" s="364">
        <v>8.31</v>
      </c>
      <c r="M196" s="365" t="s">
        <v>1021</v>
      </c>
      <c r="N196" s="364">
        <v>1.4E-2</v>
      </c>
      <c r="O196" s="364">
        <v>15</v>
      </c>
      <c r="P196" s="365">
        <v>1.34</v>
      </c>
      <c r="Q196" s="365" t="s">
        <v>1055</v>
      </c>
      <c r="R196" s="364">
        <v>2E-3</v>
      </c>
    </row>
    <row r="197" spans="1:18" s="265" customFormat="1" ht="12.75">
      <c r="A197" s="217" t="s">
        <v>785</v>
      </c>
      <c r="B197" s="217" t="s">
        <v>786</v>
      </c>
      <c r="C197" s="266" t="s">
        <v>787</v>
      </c>
      <c r="D197" s="189"/>
      <c r="E197" s="190"/>
      <c r="F197" s="323">
        <v>5</v>
      </c>
      <c r="G197" s="341">
        <v>8.49</v>
      </c>
      <c r="H197" s="341">
        <v>14.95</v>
      </c>
      <c r="I197" s="323" t="s">
        <v>1050</v>
      </c>
      <c r="J197" s="327">
        <v>3.1E-2</v>
      </c>
      <c r="K197" s="267">
        <v>140</v>
      </c>
      <c r="L197" s="267">
        <v>4.6700000000000008</v>
      </c>
      <c r="M197" s="268" t="s">
        <v>1023</v>
      </c>
      <c r="N197" s="267">
        <v>1.2E-2</v>
      </c>
      <c r="O197" s="269">
        <v>35</v>
      </c>
      <c r="P197" s="270">
        <v>1.1200000000000001</v>
      </c>
      <c r="Q197" s="270" t="s">
        <v>1051</v>
      </c>
      <c r="R197" s="269">
        <v>2.2000000000000001E-3</v>
      </c>
    </row>
    <row r="198" spans="1:18" s="265" customFormat="1" ht="12.75">
      <c r="A198" s="217" t="s">
        <v>788</v>
      </c>
      <c r="B198" s="217" t="s">
        <v>789</v>
      </c>
      <c r="C198" s="266" t="s">
        <v>33</v>
      </c>
      <c r="D198" s="189"/>
      <c r="E198" s="190"/>
      <c r="F198" s="323">
        <v>10</v>
      </c>
      <c r="G198" s="341">
        <v>14.18</v>
      </c>
      <c r="H198" s="341">
        <v>24.95</v>
      </c>
      <c r="I198" s="323" t="s">
        <v>1052</v>
      </c>
      <c r="J198" s="327">
        <v>4.3999999999999997E-2</v>
      </c>
      <c r="K198" s="267">
        <v>140</v>
      </c>
      <c r="L198" s="267">
        <v>6.3500000000000005</v>
      </c>
      <c r="M198" s="268" t="s">
        <v>1023</v>
      </c>
      <c r="N198" s="267">
        <v>1.2E-2</v>
      </c>
      <c r="O198" s="269">
        <v>35</v>
      </c>
      <c r="P198" s="270">
        <v>1.54</v>
      </c>
      <c r="Q198" s="270" t="s">
        <v>1053</v>
      </c>
      <c r="R198" s="269">
        <v>2.2000000000000001E-3</v>
      </c>
    </row>
    <row r="199" spans="1:18" s="265" customFormat="1" ht="12.75">
      <c r="A199" s="217" t="s">
        <v>790</v>
      </c>
      <c r="B199" s="217" t="s">
        <v>791</v>
      </c>
      <c r="C199" s="266" t="s">
        <v>792</v>
      </c>
      <c r="D199" s="189"/>
      <c r="E199" s="190"/>
      <c r="F199" s="323">
        <v>30</v>
      </c>
      <c r="G199" s="341">
        <v>28.38</v>
      </c>
      <c r="H199" s="341">
        <v>49.95</v>
      </c>
      <c r="I199" s="323" t="s">
        <v>1054</v>
      </c>
      <c r="J199" s="327">
        <v>8.4000000000000005E-2</v>
      </c>
      <c r="K199" s="267">
        <v>90</v>
      </c>
      <c r="L199" s="267">
        <v>8.31</v>
      </c>
      <c r="M199" s="268" t="s">
        <v>1021</v>
      </c>
      <c r="N199" s="267">
        <v>1.4E-2</v>
      </c>
      <c r="O199" s="269">
        <v>15</v>
      </c>
      <c r="P199" s="270">
        <v>1.34</v>
      </c>
      <c r="Q199" s="270" t="s">
        <v>1055</v>
      </c>
      <c r="R199" s="269">
        <v>2E-3</v>
      </c>
    </row>
    <row r="200" spans="1:18" s="265" customFormat="1" ht="12.75">
      <c r="A200" s="358" t="s">
        <v>793</v>
      </c>
      <c r="B200" s="358" t="s">
        <v>794</v>
      </c>
      <c r="C200" s="357" t="s">
        <v>795</v>
      </c>
      <c r="D200" s="359"/>
      <c r="E200" s="360"/>
      <c r="F200" s="361">
        <v>5</v>
      </c>
      <c r="G200" s="362">
        <v>7.36</v>
      </c>
      <c r="H200" s="362">
        <v>12.95</v>
      </c>
      <c r="I200" s="361" t="s">
        <v>1050</v>
      </c>
      <c r="J200" s="363">
        <v>3.1E-2</v>
      </c>
      <c r="K200" s="364">
        <v>140</v>
      </c>
      <c r="L200" s="364">
        <v>4.6700000000000008</v>
      </c>
      <c r="M200" s="365" t="s">
        <v>1023</v>
      </c>
      <c r="N200" s="364">
        <v>1.2E-2</v>
      </c>
      <c r="O200" s="364">
        <v>35</v>
      </c>
      <c r="P200" s="365">
        <v>1.1200000000000001</v>
      </c>
      <c r="Q200" s="365" t="s">
        <v>1051</v>
      </c>
      <c r="R200" s="364">
        <v>2.2000000000000001E-3</v>
      </c>
    </row>
    <row r="201" spans="1:18" s="265" customFormat="1" ht="12.75">
      <c r="A201" s="358" t="s">
        <v>796</v>
      </c>
      <c r="B201" s="358" t="s">
        <v>797</v>
      </c>
      <c r="C201" s="357" t="s">
        <v>34</v>
      </c>
      <c r="D201" s="359"/>
      <c r="E201" s="360"/>
      <c r="F201" s="361">
        <v>10</v>
      </c>
      <c r="G201" s="362">
        <v>9.6300000000000008</v>
      </c>
      <c r="H201" s="362">
        <v>16.95</v>
      </c>
      <c r="I201" s="361" t="s">
        <v>1052</v>
      </c>
      <c r="J201" s="363">
        <v>4.3999999999999997E-2</v>
      </c>
      <c r="K201" s="364">
        <v>140</v>
      </c>
      <c r="L201" s="364">
        <v>6.3500000000000005</v>
      </c>
      <c r="M201" s="365" t="s">
        <v>1023</v>
      </c>
      <c r="N201" s="364">
        <v>1.2E-2</v>
      </c>
      <c r="O201" s="364">
        <v>35</v>
      </c>
      <c r="P201" s="365">
        <v>1.54</v>
      </c>
      <c r="Q201" s="365" t="s">
        <v>1053</v>
      </c>
      <c r="R201" s="364">
        <v>2.2000000000000001E-3</v>
      </c>
    </row>
    <row r="202" spans="1:18" s="265" customFormat="1" ht="12.75">
      <c r="A202" s="358" t="s">
        <v>798</v>
      </c>
      <c r="B202" s="358" t="s">
        <v>329</v>
      </c>
      <c r="C202" s="357" t="s">
        <v>799</v>
      </c>
      <c r="D202" s="359"/>
      <c r="E202" s="360"/>
      <c r="F202" s="361">
        <v>30</v>
      </c>
      <c r="G202" s="362">
        <v>22.7</v>
      </c>
      <c r="H202" s="362">
        <v>39.950000000000003</v>
      </c>
      <c r="I202" s="361" t="s">
        <v>1054</v>
      </c>
      <c r="J202" s="363">
        <v>8.4000000000000005E-2</v>
      </c>
      <c r="K202" s="364">
        <v>90</v>
      </c>
      <c r="L202" s="364">
        <v>8.31</v>
      </c>
      <c r="M202" s="365" t="s">
        <v>1021</v>
      </c>
      <c r="N202" s="364">
        <v>1.4E-2</v>
      </c>
      <c r="O202" s="364">
        <v>15</v>
      </c>
      <c r="P202" s="365">
        <v>1.34</v>
      </c>
      <c r="Q202" s="365" t="s">
        <v>1055</v>
      </c>
      <c r="R202" s="364">
        <v>2E-3</v>
      </c>
    </row>
    <row r="203" spans="1:18" s="265" customFormat="1" ht="12.75">
      <c r="A203" s="217" t="s">
        <v>1338</v>
      </c>
      <c r="B203" s="217" t="s">
        <v>1339</v>
      </c>
      <c r="C203" s="266" t="s">
        <v>1340</v>
      </c>
      <c r="D203" s="189"/>
      <c r="E203" s="190"/>
      <c r="F203" s="323">
        <v>5</v>
      </c>
      <c r="G203" s="341">
        <v>16.8</v>
      </c>
      <c r="H203" s="341">
        <v>29.56</v>
      </c>
      <c r="I203" s="323" t="s">
        <v>1050</v>
      </c>
      <c r="J203" s="327">
        <v>3.1E-2</v>
      </c>
      <c r="K203" s="267">
        <v>140</v>
      </c>
      <c r="L203" s="267">
        <v>4.6700000000000008</v>
      </c>
      <c r="M203" s="268" t="s">
        <v>1023</v>
      </c>
      <c r="N203" s="267">
        <v>1.2E-2</v>
      </c>
      <c r="O203" s="269">
        <v>35</v>
      </c>
      <c r="P203" s="270">
        <v>1.1200000000000001</v>
      </c>
      <c r="Q203" s="270" t="s">
        <v>1051</v>
      </c>
      <c r="R203" s="269">
        <v>2.2000000000000001E-3</v>
      </c>
    </row>
    <row r="204" spans="1:18" s="265" customFormat="1" ht="12.75">
      <c r="A204" s="217" t="s">
        <v>1341</v>
      </c>
      <c r="B204" s="217" t="s">
        <v>1342</v>
      </c>
      <c r="C204" s="266" t="s">
        <v>1343</v>
      </c>
      <c r="D204" s="189"/>
      <c r="E204" s="190"/>
      <c r="F204" s="323">
        <v>10</v>
      </c>
      <c r="G204" s="341">
        <v>28.93</v>
      </c>
      <c r="H204" s="341">
        <v>50.92</v>
      </c>
      <c r="I204" s="323" t="s">
        <v>1052</v>
      </c>
      <c r="J204" s="327">
        <v>4.3999999999999997E-2</v>
      </c>
      <c r="K204" s="267">
        <v>140</v>
      </c>
      <c r="L204" s="267">
        <v>6.3500000000000005</v>
      </c>
      <c r="M204" s="268" t="s">
        <v>1023</v>
      </c>
      <c r="N204" s="267">
        <v>1.2E-2</v>
      </c>
      <c r="O204" s="269">
        <v>35</v>
      </c>
      <c r="P204" s="270">
        <v>1.54</v>
      </c>
      <c r="Q204" s="270" t="s">
        <v>1053</v>
      </c>
      <c r="R204" s="269">
        <v>2.2000000000000001E-3</v>
      </c>
    </row>
    <row r="205" spans="1:18" s="265" customFormat="1" ht="12.75">
      <c r="A205" s="358" t="s">
        <v>800</v>
      </c>
      <c r="B205" s="358" t="s">
        <v>801</v>
      </c>
      <c r="C205" s="357" t="s">
        <v>35</v>
      </c>
      <c r="D205" s="359"/>
      <c r="E205" s="360"/>
      <c r="F205" s="361">
        <v>2</v>
      </c>
      <c r="G205" s="362">
        <v>39.74</v>
      </c>
      <c r="H205" s="362">
        <v>69.95</v>
      </c>
      <c r="I205" s="361" t="s">
        <v>1050</v>
      </c>
      <c r="J205" s="363">
        <v>2.8000000000000001E-2</v>
      </c>
      <c r="K205" s="364">
        <v>140</v>
      </c>
      <c r="L205" s="364">
        <v>4.12</v>
      </c>
      <c r="M205" s="365" t="s">
        <v>1023</v>
      </c>
      <c r="N205" s="364">
        <v>1.2E-2</v>
      </c>
      <c r="O205" s="364">
        <v>35</v>
      </c>
      <c r="P205" s="365">
        <v>1.03</v>
      </c>
      <c r="Q205" s="365" t="s">
        <v>1051</v>
      </c>
      <c r="R205" s="364">
        <v>2.2000000000000001E-3</v>
      </c>
    </row>
    <row r="206" spans="1:18" s="265" customFormat="1" ht="12.75">
      <c r="A206" s="358" t="s">
        <v>802</v>
      </c>
      <c r="B206" s="358" t="s">
        <v>803</v>
      </c>
      <c r="C206" s="357" t="s">
        <v>332</v>
      </c>
      <c r="D206" s="359"/>
      <c r="E206" s="360"/>
      <c r="F206" s="361">
        <v>5</v>
      </c>
      <c r="G206" s="362">
        <v>82.36</v>
      </c>
      <c r="H206" s="362">
        <v>144.94999999999999</v>
      </c>
      <c r="I206" s="361" t="s">
        <v>1050</v>
      </c>
      <c r="J206" s="363">
        <v>3.1E-2</v>
      </c>
      <c r="K206" s="364">
        <v>140</v>
      </c>
      <c r="L206" s="364">
        <v>4.6700000000000008</v>
      </c>
      <c r="M206" s="365" t="s">
        <v>1023</v>
      </c>
      <c r="N206" s="364">
        <v>1.2E-2</v>
      </c>
      <c r="O206" s="364">
        <v>35</v>
      </c>
      <c r="P206" s="365">
        <v>1.1200000000000001</v>
      </c>
      <c r="Q206" s="365" t="s">
        <v>1051</v>
      </c>
      <c r="R206" s="364">
        <v>2.2000000000000001E-3</v>
      </c>
    </row>
    <row r="207" spans="1:18" s="265" customFormat="1" ht="12.75">
      <c r="A207" s="358" t="s">
        <v>804</v>
      </c>
      <c r="B207" s="358" t="s">
        <v>805</v>
      </c>
      <c r="C207" s="357" t="s">
        <v>36</v>
      </c>
      <c r="D207" s="359"/>
      <c r="E207" s="360"/>
      <c r="F207" s="361">
        <v>10</v>
      </c>
      <c r="G207" s="362">
        <v>130.65</v>
      </c>
      <c r="H207" s="362">
        <v>229.95</v>
      </c>
      <c r="I207" s="361" t="s">
        <v>1052</v>
      </c>
      <c r="J207" s="363">
        <v>4.3999999999999997E-2</v>
      </c>
      <c r="K207" s="364">
        <v>140</v>
      </c>
      <c r="L207" s="364">
        <v>6.3500000000000005</v>
      </c>
      <c r="M207" s="365" t="s">
        <v>1023</v>
      </c>
      <c r="N207" s="364">
        <v>1.2E-2</v>
      </c>
      <c r="O207" s="364">
        <v>35</v>
      </c>
      <c r="P207" s="365">
        <v>1.54</v>
      </c>
      <c r="Q207" s="365" t="s">
        <v>1053</v>
      </c>
      <c r="R207" s="364">
        <v>2.2000000000000001E-3</v>
      </c>
    </row>
    <row r="208" spans="1:18" s="265" customFormat="1" ht="12.75">
      <c r="A208" s="358" t="s">
        <v>806</v>
      </c>
      <c r="B208" s="358" t="s">
        <v>807</v>
      </c>
      <c r="C208" s="357" t="s">
        <v>335</v>
      </c>
      <c r="D208" s="359"/>
      <c r="E208" s="360"/>
      <c r="F208" s="361">
        <v>30</v>
      </c>
      <c r="G208" s="362">
        <v>284.06</v>
      </c>
      <c r="H208" s="362">
        <v>499.95</v>
      </c>
      <c r="I208" s="361" t="s">
        <v>1054</v>
      </c>
      <c r="J208" s="363">
        <v>8.4000000000000005E-2</v>
      </c>
      <c r="K208" s="364">
        <v>90</v>
      </c>
      <c r="L208" s="364">
        <v>8.31</v>
      </c>
      <c r="M208" s="365" t="s">
        <v>1021</v>
      </c>
      <c r="N208" s="364">
        <v>1.4E-2</v>
      </c>
      <c r="O208" s="364">
        <v>15</v>
      </c>
      <c r="P208" s="365">
        <v>1.34</v>
      </c>
      <c r="Q208" s="365" t="s">
        <v>1055</v>
      </c>
      <c r="R208" s="364">
        <v>2E-3</v>
      </c>
    </row>
    <row r="209" spans="1:18" s="265" customFormat="1" ht="12.75">
      <c r="A209" s="217" t="s">
        <v>808</v>
      </c>
      <c r="B209" s="217" t="s">
        <v>809</v>
      </c>
      <c r="C209" s="266" t="s">
        <v>810</v>
      </c>
      <c r="D209" s="189"/>
      <c r="E209" s="190"/>
      <c r="F209" s="323">
        <v>5</v>
      </c>
      <c r="G209" s="341">
        <v>7.36</v>
      </c>
      <c r="H209" s="341">
        <v>12.95</v>
      </c>
      <c r="I209" s="323" t="s">
        <v>1050</v>
      </c>
      <c r="J209" s="327">
        <v>3.1E-2</v>
      </c>
      <c r="K209" s="267">
        <v>140</v>
      </c>
      <c r="L209" s="267">
        <v>4.6700000000000008</v>
      </c>
      <c r="M209" s="268" t="s">
        <v>1023</v>
      </c>
      <c r="N209" s="267">
        <v>1.2E-2</v>
      </c>
      <c r="O209" s="269">
        <v>35</v>
      </c>
      <c r="P209" s="270">
        <v>1.1200000000000001</v>
      </c>
      <c r="Q209" s="270" t="s">
        <v>1051</v>
      </c>
      <c r="R209" s="269">
        <v>2.2000000000000001E-3</v>
      </c>
    </row>
    <row r="210" spans="1:18" s="265" customFormat="1" ht="12.75">
      <c r="A210" s="217" t="s">
        <v>811</v>
      </c>
      <c r="B210" s="217" t="s">
        <v>812</v>
      </c>
      <c r="C210" s="266" t="s">
        <v>37</v>
      </c>
      <c r="D210" s="189"/>
      <c r="E210" s="190"/>
      <c r="F210" s="323">
        <v>10</v>
      </c>
      <c r="G210" s="341">
        <v>11.34</v>
      </c>
      <c r="H210" s="341">
        <v>19.95</v>
      </c>
      <c r="I210" s="323" t="s">
        <v>1052</v>
      </c>
      <c r="J210" s="327">
        <v>4.3999999999999997E-2</v>
      </c>
      <c r="K210" s="267">
        <v>140</v>
      </c>
      <c r="L210" s="267">
        <v>6.3500000000000005</v>
      </c>
      <c r="M210" s="268" t="s">
        <v>1023</v>
      </c>
      <c r="N210" s="267">
        <v>1.2E-2</v>
      </c>
      <c r="O210" s="269">
        <v>35</v>
      </c>
      <c r="P210" s="270">
        <v>1.54</v>
      </c>
      <c r="Q210" s="270" t="s">
        <v>1053</v>
      </c>
      <c r="R210" s="269">
        <v>2.2000000000000001E-3</v>
      </c>
    </row>
    <row r="211" spans="1:18" s="265" customFormat="1" ht="12.75">
      <c r="A211" s="217" t="s">
        <v>813</v>
      </c>
      <c r="B211" s="217" t="s">
        <v>814</v>
      </c>
      <c r="C211" s="266" t="s">
        <v>815</v>
      </c>
      <c r="D211" s="189"/>
      <c r="E211" s="190"/>
      <c r="F211" s="323">
        <v>30</v>
      </c>
      <c r="G211" s="341">
        <v>22.7</v>
      </c>
      <c r="H211" s="341">
        <v>39.950000000000003</v>
      </c>
      <c r="I211" s="323" t="s">
        <v>1054</v>
      </c>
      <c r="J211" s="327">
        <v>8.4000000000000005E-2</v>
      </c>
      <c r="K211" s="267">
        <v>90</v>
      </c>
      <c r="L211" s="267">
        <v>8.31</v>
      </c>
      <c r="M211" s="268" t="s">
        <v>1021</v>
      </c>
      <c r="N211" s="267">
        <v>1.4E-2</v>
      </c>
      <c r="O211" s="269">
        <v>15</v>
      </c>
      <c r="P211" s="270">
        <v>1.34</v>
      </c>
      <c r="Q211" s="270" t="s">
        <v>1055</v>
      </c>
      <c r="R211" s="269">
        <v>2E-3</v>
      </c>
    </row>
    <row r="212" spans="1:18" s="265" customFormat="1" ht="12.75">
      <c r="A212" s="358" t="s">
        <v>816</v>
      </c>
      <c r="B212" s="358" t="s">
        <v>817</v>
      </c>
      <c r="C212" s="357" t="s">
        <v>818</v>
      </c>
      <c r="D212" s="359"/>
      <c r="E212" s="360"/>
      <c r="F212" s="361">
        <v>5</v>
      </c>
      <c r="G212" s="362">
        <v>11.34</v>
      </c>
      <c r="H212" s="362">
        <v>19.95</v>
      </c>
      <c r="I212" s="361" t="s">
        <v>1050</v>
      </c>
      <c r="J212" s="363">
        <v>3.1E-2</v>
      </c>
      <c r="K212" s="364">
        <v>140</v>
      </c>
      <c r="L212" s="364">
        <v>4.6700000000000008</v>
      </c>
      <c r="M212" s="365" t="s">
        <v>1023</v>
      </c>
      <c r="N212" s="364">
        <v>1.2E-2</v>
      </c>
      <c r="O212" s="364">
        <v>35</v>
      </c>
      <c r="P212" s="365">
        <v>1.1200000000000001</v>
      </c>
      <c r="Q212" s="365" t="s">
        <v>1051</v>
      </c>
      <c r="R212" s="364">
        <v>2.2000000000000001E-3</v>
      </c>
    </row>
    <row r="213" spans="1:18" s="265" customFormat="1" ht="12.75">
      <c r="A213" s="358" t="s">
        <v>819</v>
      </c>
      <c r="B213" s="358" t="s">
        <v>820</v>
      </c>
      <c r="C213" s="357" t="s">
        <v>38</v>
      </c>
      <c r="D213" s="359"/>
      <c r="E213" s="360"/>
      <c r="F213" s="361">
        <v>10</v>
      </c>
      <c r="G213" s="362">
        <v>17.02</v>
      </c>
      <c r="H213" s="362">
        <v>29.95</v>
      </c>
      <c r="I213" s="361" t="s">
        <v>1052</v>
      </c>
      <c r="J213" s="363">
        <v>4.3999999999999997E-2</v>
      </c>
      <c r="K213" s="364">
        <v>140</v>
      </c>
      <c r="L213" s="364">
        <v>6.3500000000000005</v>
      </c>
      <c r="M213" s="365" t="s">
        <v>1023</v>
      </c>
      <c r="N213" s="364">
        <v>1.2E-2</v>
      </c>
      <c r="O213" s="364">
        <v>35</v>
      </c>
      <c r="P213" s="365">
        <v>1.54</v>
      </c>
      <c r="Q213" s="365" t="s">
        <v>1053</v>
      </c>
      <c r="R213" s="364">
        <v>2.2000000000000001E-3</v>
      </c>
    </row>
    <row r="214" spans="1:18" s="265" customFormat="1" ht="12.75">
      <c r="A214" s="358" t="s">
        <v>821</v>
      </c>
      <c r="B214" s="358" t="s">
        <v>822</v>
      </c>
      <c r="C214" s="357" t="s">
        <v>823</v>
      </c>
      <c r="D214" s="359"/>
      <c r="E214" s="360"/>
      <c r="F214" s="361">
        <v>30</v>
      </c>
      <c r="G214" s="362">
        <v>34.06</v>
      </c>
      <c r="H214" s="362">
        <v>59.95</v>
      </c>
      <c r="I214" s="361" t="s">
        <v>1054</v>
      </c>
      <c r="J214" s="363">
        <v>8.4000000000000005E-2</v>
      </c>
      <c r="K214" s="364">
        <v>90</v>
      </c>
      <c r="L214" s="364">
        <v>8.31</v>
      </c>
      <c r="M214" s="365" t="s">
        <v>1021</v>
      </c>
      <c r="N214" s="364">
        <v>1.4E-2</v>
      </c>
      <c r="O214" s="364">
        <v>15</v>
      </c>
      <c r="P214" s="365">
        <v>1.34</v>
      </c>
      <c r="Q214" s="365" t="s">
        <v>1055</v>
      </c>
      <c r="R214" s="364">
        <v>2E-3</v>
      </c>
    </row>
    <row r="215" spans="1:18" s="265" customFormat="1" ht="12.75">
      <c r="A215" s="217" t="s">
        <v>824</v>
      </c>
      <c r="B215" s="217" t="s">
        <v>825</v>
      </c>
      <c r="C215" s="266" t="s">
        <v>826</v>
      </c>
      <c r="D215" s="189"/>
      <c r="E215" s="190"/>
      <c r="F215" s="323">
        <v>5</v>
      </c>
      <c r="G215" s="341">
        <v>3.95</v>
      </c>
      <c r="H215" s="341">
        <v>6.95</v>
      </c>
      <c r="I215" s="323" t="s">
        <v>1050</v>
      </c>
      <c r="J215" s="327">
        <v>3.1E-2</v>
      </c>
      <c r="K215" s="267">
        <v>140</v>
      </c>
      <c r="L215" s="267">
        <v>4.6700000000000008</v>
      </c>
      <c r="M215" s="268" t="s">
        <v>1023</v>
      </c>
      <c r="N215" s="267">
        <v>1.2E-2</v>
      </c>
      <c r="O215" s="269">
        <v>35</v>
      </c>
      <c r="P215" s="270">
        <v>1.1200000000000001</v>
      </c>
      <c r="Q215" s="270" t="s">
        <v>1051</v>
      </c>
      <c r="R215" s="269">
        <v>2.2000000000000001E-3</v>
      </c>
    </row>
    <row r="216" spans="1:18" s="265" customFormat="1" ht="12.75">
      <c r="A216" s="217" t="s">
        <v>827</v>
      </c>
      <c r="B216" s="217" t="s">
        <v>828</v>
      </c>
      <c r="C216" s="266" t="s">
        <v>39</v>
      </c>
      <c r="D216" s="189"/>
      <c r="E216" s="190"/>
      <c r="F216" s="323">
        <v>10</v>
      </c>
      <c r="G216" s="341">
        <v>5.09</v>
      </c>
      <c r="H216" s="341">
        <v>8.9499999999999993</v>
      </c>
      <c r="I216" s="323" t="s">
        <v>1052</v>
      </c>
      <c r="J216" s="327">
        <v>4.3999999999999997E-2</v>
      </c>
      <c r="K216" s="267">
        <v>140</v>
      </c>
      <c r="L216" s="267">
        <v>6.3500000000000005</v>
      </c>
      <c r="M216" s="268" t="s">
        <v>1023</v>
      </c>
      <c r="N216" s="267">
        <v>1.2E-2</v>
      </c>
      <c r="O216" s="269">
        <v>35</v>
      </c>
      <c r="P216" s="270">
        <v>1.54</v>
      </c>
      <c r="Q216" s="270" t="s">
        <v>1053</v>
      </c>
      <c r="R216" s="269">
        <v>2.2000000000000001E-3</v>
      </c>
    </row>
    <row r="217" spans="1:18" s="265" customFormat="1" ht="12.75">
      <c r="A217" s="217" t="s">
        <v>829</v>
      </c>
      <c r="B217" s="217" t="s">
        <v>830</v>
      </c>
      <c r="C217" s="266" t="s">
        <v>831</v>
      </c>
      <c r="D217" s="189"/>
      <c r="E217" s="190"/>
      <c r="F217" s="323">
        <v>30</v>
      </c>
      <c r="G217" s="341">
        <v>11.34</v>
      </c>
      <c r="H217" s="341">
        <v>19.95</v>
      </c>
      <c r="I217" s="323" t="s">
        <v>1054</v>
      </c>
      <c r="J217" s="327">
        <v>8.4000000000000005E-2</v>
      </c>
      <c r="K217" s="267">
        <v>90</v>
      </c>
      <c r="L217" s="267">
        <v>8.31</v>
      </c>
      <c r="M217" s="268" t="s">
        <v>1021</v>
      </c>
      <c r="N217" s="267">
        <v>1.4E-2</v>
      </c>
      <c r="O217" s="269">
        <v>15</v>
      </c>
      <c r="P217" s="270">
        <v>1.34</v>
      </c>
      <c r="Q217" s="270" t="s">
        <v>1055</v>
      </c>
      <c r="R217" s="269">
        <v>2E-3</v>
      </c>
    </row>
    <row r="218" spans="1:18" s="265" customFormat="1" ht="12.75">
      <c r="A218" s="358" t="s">
        <v>832</v>
      </c>
      <c r="B218" s="358" t="s">
        <v>345</v>
      </c>
      <c r="C218" s="357" t="s">
        <v>833</v>
      </c>
      <c r="D218" s="359"/>
      <c r="E218" s="360"/>
      <c r="F218" s="361">
        <v>5</v>
      </c>
      <c r="G218" s="362">
        <v>5.65</v>
      </c>
      <c r="H218" s="362">
        <v>9.9499999999999993</v>
      </c>
      <c r="I218" s="361" t="s">
        <v>1050</v>
      </c>
      <c r="J218" s="363">
        <v>3.1E-2</v>
      </c>
      <c r="K218" s="364">
        <v>140</v>
      </c>
      <c r="L218" s="364">
        <v>4.6700000000000008</v>
      </c>
      <c r="M218" s="365" t="s">
        <v>1023</v>
      </c>
      <c r="N218" s="364">
        <v>1.2E-2</v>
      </c>
      <c r="O218" s="364">
        <v>35</v>
      </c>
      <c r="P218" s="365">
        <v>1.1200000000000001</v>
      </c>
      <c r="Q218" s="365" t="s">
        <v>1051</v>
      </c>
      <c r="R218" s="364">
        <v>2.2000000000000001E-3</v>
      </c>
    </row>
    <row r="219" spans="1:18" s="265" customFormat="1" ht="12.75">
      <c r="A219" s="358" t="s">
        <v>834</v>
      </c>
      <c r="B219" s="358" t="s">
        <v>835</v>
      </c>
      <c r="C219" s="357" t="s">
        <v>40</v>
      </c>
      <c r="D219" s="359"/>
      <c r="E219" s="360"/>
      <c r="F219" s="361">
        <v>10</v>
      </c>
      <c r="G219" s="362">
        <v>8.49</v>
      </c>
      <c r="H219" s="362">
        <v>14.95</v>
      </c>
      <c r="I219" s="361" t="s">
        <v>1052</v>
      </c>
      <c r="J219" s="363">
        <v>4.3999999999999997E-2</v>
      </c>
      <c r="K219" s="364">
        <v>140</v>
      </c>
      <c r="L219" s="364">
        <v>6.3500000000000005</v>
      </c>
      <c r="M219" s="365" t="s">
        <v>1023</v>
      </c>
      <c r="N219" s="364">
        <v>1.2E-2</v>
      </c>
      <c r="O219" s="364">
        <v>35</v>
      </c>
      <c r="P219" s="365">
        <v>1.54</v>
      </c>
      <c r="Q219" s="365" t="s">
        <v>1053</v>
      </c>
      <c r="R219" s="364">
        <v>2.2000000000000001E-3</v>
      </c>
    </row>
    <row r="220" spans="1:18" s="265" customFormat="1" ht="12.75">
      <c r="A220" s="358" t="s">
        <v>836</v>
      </c>
      <c r="B220" s="358" t="s">
        <v>837</v>
      </c>
      <c r="C220" s="357" t="s">
        <v>838</v>
      </c>
      <c r="D220" s="359"/>
      <c r="E220" s="360"/>
      <c r="F220" s="361">
        <v>30</v>
      </c>
      <c r="G220" s="362">
        <v>17.02</v>
      </c>
      <c r="H220" s="362">
        <v>29.95</v>
      </c>
      <c r="I220" s="361" t="s">
        <v>1054</v>
      </c>
      <c r="J220" s="363">
        <v>8.4000000000000005E-2</v>
      </c>
      <c r="K220" s="364">
        <v>90</v>
      </c>
      <c r="L220" s="364">
        <v>8.31</v>
      </c>
      <c r="M220" s="365" t="s">
        <v>1021</v>
      </c>
      <c r="N220" s="364">
        <v>1.4E-2</v>
      </c>
      <c r="O220" s="364">
        <v>15</v>
      </c>
      <c r="P220" s="365">
        <v>1.34</v>
      </c>
      <c r="Q220" s="365" t="s">
        <v>1055</v>
      </c>
      <c r="R220" s="364">
        <v>2E-3</v>
      </c>
    </row>
    <row r="221" spans="1:18" s="265" customFormat="1" ht="12.75">
      <c r="A221" s="217" t="s">
        <v>839</v>
      </c>
      <c r="B221" s="217" t="s">
        <v>840</v>
      </c>
      <c r="C221" s="266" t="s">
        <v>841</v>
      </c>
      <c r="D221" s="189"/>
      <c r="E221" s="190"/>
      <c r="F221" s="323">
        <v>5</v>
      </c>
      <c r="G221" s="341">
        <v>8.49</v>
      </c>
      <c r="H221" s="341">
        <v>14.95</v>
      </c>
      <c r="I221" s="323" t="s">
        <v>1050</v>
      </c>
      <c r="J221" s="327">
        <v>3.1E-2</v>
      </c>
      <c r="K221" s="267">
        <v>140</v>
      </c>
      <c r="L221" s="267">
        <v>4.6700000000000008</v>
      </c>
      <c r="M221" s="268" t="s">
        <v>1023</v>
      </c>
      <c r="N221" s="267">
        <v>1.2E-2</v>
      </c>
      <c r="O221" s="269">
        <v>35</v>
      </c>
      <c r="P221" s="270">
        <v>1.1200000000000001</v>
      </c>
      <c r="Q221" s="270" t="s">
        <v>1051</v>
      </c>
      <c r="R221" s="269">
        <v>2.2000000000000001E-3</v>
      </c>
    </row>
    <row r="222" spans="1:18" s="265" customFormat="1" ht="12.75">
      <c r="A222" s="217" t="s">
        <v>842</v>
      </c>
      <c r="B222" s="217" t="s">
        <v>843</v>
      </c>
      <c r="C222" s="266" t="s">
        <v>41</v>
      </c>
      <c r="D222" s="189"/>
      <c r="E222" s="190"/>
      <c r="F222" s="323">
        <v>10</v>
      </c>
      <c r="G222" s="341">
        <v>11.34</v>
      </c>
      <c r="H222" s="341">
        <v>19.95</v>
      </c>
      <c r="I222" s="323" t="s">
        <v>1052</v>
      </c>
      <c r="J222" s="327">
        <v>4.3999999999999997E-2</v>
      </c>
      <c r="K222" s="267">
        <v>140</v>
      </c>
      <c r="L222" s="267">
        <v>6.3500000000000005</v>
      </c>
      <c r="M222" s="268" t="s">
        <v>1023</v>
      </c>
      <c r="N222" s="267">
        <v>1.2E-2</v>
      </c>
      <c r="O222" s="269">
        <v>35</v>
      </c>
      <c r="P222" s="270">
        <v>1.54</v>
      </c>
      <c r="Q222" s="270" t="s">
        <v>1053</v>
      </c>
      <c r="R222" s="269">
        <v>2.2000000000000001E-3</v>
      </c>
    </row>
    <row r="223" spans="1:18" s="265" customFormat="1" ht="12.75">
      <c r="A223" s="217" t="s">
        <v>844</v>
      </c>
      <c r="B223" s="217" t="s">
        <v>845</v>
      </c>
      <c r="C223" s="266" t="s">
        <v>846</v>
      </c>
      <c r="D223" s="189"/>
      <c r="E223" s="190"/>
      <c r="F223" s="323">
        <v>30</v>
      </c>
      <c r="G223" s="341">
        <v>22.7</v>
      </c>
      <c r="H223" s="341">
        <v>39.950000000000003</v>
      </c>
      <c r="I223" s="323" t="s">
        <v>1054</v>
      </c>
      <c r="J223" s="327">
        <v>8.4000000000000005E-2</v>
      </c>
      <c r="K223" s="267">
        <v>90</v>
      </c>
      <c r="L223" s="267">
        <v>8.31</v>
      </c>
      <c r="M223" s="268" t="s">
        <v>1021</v>
      </c>
      <c r="N223" s="267">
        <v>1.4E-2</v>
      </c>
      <c r="O223" s="269">
        <v>15</v>
      </c>
      <c r="P223" s="270">
        <v>1.34</v>
      </c>
      <c r="Q223" s="270" t="s">
        <v>1055</v>
      </c>
      <c r="R223" s="269">
        <v>2E-3</v>
      </c>
    </row>
    <row r="224" spans="1:18" s="265" customFormat="1" ht="12.75">
      <c r="A224" s="358" t="s">
        <v>847</v>
      </c>
      <c r="B224" s="358" t="s">
        <v>848</v>
      </c>
      <c r="C224" s="357" t="s">
        <v>849</v>
      </c>
      <c r="D224" s="359"/>
      <c r="E224" s="360"/>
      <c r="F224" s="361">
        <v>5</v>
      </c>
      <c r="G224" s="362">
        <v>5.65</v>
      </c>
      <c r="H224" s="362">
        <v>9.9499999999999993</v>
      </c>
      <c r="I224" s="361" t="s">
        <v>1050</v>
      </c>
      <c r="J224" s="363">
        <v>3.1E-2</v>
      </c>
      <c r="K224" s="364">
        <v>140</v>
      </c>
      <c r="L224" s="364">
        <v>4.6700000000000008</v>
      </c>
      <c r="M224" s="365" t="s">
        <v>1023</v>
      </c>
      <c r="N224" s="364">
        <v>1.2E-2</v>
      </c>
      <c r="O224" s="364">
        <v>35</v>
      </c>
      <c r="P224" s="365">
        <v>1.1200000000000001</v>
      </c>
      <c r="Q224" s="365" t="s">
        <v>1051</v>
      </c>
      <c r="R224" s="364">
        <v>2.2000000000000001E-3</v>
      </c>
    </row>
    <row r="225" spans="1:18" s="265" customFormat="1" ht="12.75">
      <c r="A225" s="358" t="s">
        <v>850</v>
      </c>
      <c r="B225" s="358" t="s">
        <v>851</v>
      </c>
      <c r="C225" s="357" t="s">
        <v>42</v>
      </c>
      <c r="D225" s="359"/>
      <c r="E225" s="360"/>
      <c r="F225" s="361">
        <v>10</v>
      </c>
      <c r="G225" s="362">
        <v>8.49</v>
      </c>
      <c r="H225" s="362">
        <v>14.95</v>
      </c>
      <c r="I225" s="361" t="s">
        <v>1052</v>
      </c>
      <c r="J225" s="363">
        <v>4.3999999999999997E-2</v>
      </c>
      <c r="K225" s="364">
        <v>140</v>
      </c>
      <c r="L225" s="364">
        <v>6.3500000000000005</v>
      </c>
      <c r="M225" s="365" t="s">
        <v>1023</v>
      </c>
      <c r="N225" s="364">
        <v>1.2E-2</v>
      </c>
      <c r="O225" s="364">
        <v>35</v>
      </c>
      <c r="P225" s="365">
        <v>1.54</v>
      </c>
      <c r="Q225" s="365" t="s">
        <v>1053</v>
      </c>
      <c r="R225" s="364">
        <v>2.2000000000000001E-3</v>
      </c>
    </row>
    <row r="226" spans="1:18" s="265" customFormat="1" ht="12.75">
      <c r="A226" s="358" t="s">
        <v>852</v>
      </c>
      <c r="B226" s="358" t="s">
        <v>853</v>
      </c>
      <c r="C226" s="357" t="s">
        <v>854</v>
      </c>
      <c r="D226" s="359"/>
      <c r="E226" s="360"/>
      <c r="F226" s="361">
        <v>30</v>
      </c>
      <c r="G226" s="362">
        <v>17.02</v>
      </c>
      <c r="H226" s="362">
        <v>29.95</v>
      </c>
      <c r="I226" s="361" t="s">
        <v>1054</v>
      </c>
      <c r="J226" s="363">
        <v>8.4000000000000005E-2</v>
      </c>
      <c r="K226" s="364">
        <v>90</v>
      </c>
      <c r="L226" s="364">
        <v>8.31</v>
      </c>
      <c r="M226" s="365" t="s">
        <v>1021</v>
      </c>
      <c r="N226" s="364">
        <v>1.4E-2</v>
      </c>
      <c r="O226" s="364">
        <v>15</v>
      </c>
      <c r="P226" s="365">
        <v>1.34</v>
      </c>
      <c r="Q226" s="365" t="s">
        <v>1055</v>
      </c>
      <c r="R226" s="364">
        <v>2E-3</v>
      </c>
    </row>
    <row r="227" spans="1:18" s="265" customFormat="1" ht="12.75">
      <c r="A227" s="217" t="s">
        <v>855</v>
      </c>
      <c r="B227" s="217" t="s">
        <v>856</v>
      </c>
      <c r="C227" s="266" t="s">
        <v>355</v>
      </c>
      <c r="D227" s="189"/>
      <c r="E227" s="190"/>
      <c r="F227" s="323">
        <v>5</v>
      </c>
      <c r="G227" s="341">
        <v>7.36</v>
      </c>
      <c r="H227" s="341">
        <v>12.95</v>
      </c>
      <c r="I227" s="323" t="s">
        <v>1050</v>
      </c>
      <c r="J227" s="327">
        <v>3.1E-2</v>
      </c>
      <c r="K227" s="267">
        <v>140</v>
      </c>
      <c r="L227" s="267">
        <v>4.6700000000000008</v>
      </c>
      <c r="M227" s="268" t="s">
        <v>1023</v>
      </c>
      <c r="N227" s="267">
        <v>1.2E-2</v>
      </c>
      <c r="O227" s="269">
        <v>35</v>
      </c>
      <c r="P227" s="270">
        <v>1.1200000000000001</v>
      </c>
      <c r="Q227" s="270" t="s">
        <v>1051</v>
      </c>
      <c r="R227" s="269">
        <v>2.2000000000000001E-3</v>
      </c>
    </row>
    <row r="228" spans="1:18" s="265" customFormat="1" ht="12.75">
      <c r="A228" s="217" t="s">
        <v>857</v>
      </c>
      <c r="B228" s="217" t="s">
        <v>858</v>
      </c>
      <c r="C228" s="266" t="s">
        <v>43</v>
      </c>
      <c r="D228" s="189"/>
      <c r="E228" s="190"/>
      <c r="F228" s="323">
        <v>10</v>
      </c>
      <c r="G228" s="341">
        <v>11.34</v>
      </c>
      <c r="H228" s="341">
        <v>19.95</v>
      </c>
      <c r="I228" s="323" t="s">
        <v>1052</v>
      </c>
      <c r="J228" s="327">
        <v>4.3999999999999997E-2</v>
      </c>
      <c r="K228" s="267">
        <v>140</v>
      </c>
      <c r="L228" s="267">
        <v>6.3500000000000005</v>
      </c>
      <c r="M228" s="268" t="s">
        <v>1023</v>
      </c>
      <c r="N228" s="267">
        <v>1.2E-2</v>
      </c>
      <c r="O228" s="269">
        <v>35</v>
      </c>
      <c r="P228" s="270">
        <v>1.54</v>
      </c>
      <c r="Q228" s="270" t="s">
        <v>1053</v>
      </c>
      <c r="R228" s="269">
        <v>2.2000000000000001E-3</v>
      </c>
    </row>
    <row r="229" spans="1:18" s="265" customFormat="1" ht="12.75">
      <c r="A229" s="217" t="s">
        <v>859</v>
      </c>
      <c r="B229" s="217" t="s">
        <v>860</v>
      </c>
      <c r="C229" s="266" t="s">
        <v>861</v>
      </c>
      <c r="D229" s="189"/>
      <c r="E229" s="190"/>
      <c r="F229" s="323">
        <v>30</v>
      </c>
      <c r="G229" s="341">
        <v>22.7</v>
      </c>
      <c r="H229" s="341">
        <v>39.950000000000003</v>
      </c>
      <c r="I229" s="323" t="s">
        <v>1054</v>
      </c>
      <c r="J229" s="327">
        <v>8.4000000000000005E-2</v>
      </c>
      <c r="K229" s="267">
        <v>90</v>
      </c>
      <c r="L229" s="267">
        <v>8.31</v>
      </c>
      <c r="M229" s="268" t="s">
        <v>1021</v>
      </c>
      <c r="N229" s="267">
        <v>1.4E-2</v>
      </c>
      <c r="O229" s="269">
        <v>15</v>
      </c>
      <c r="P229" s="270">
        <v>1.34</v>
      </c>
      <c r="Q229" s="270" t="s">
        <v>1055</v>
      </c>
      <c r="R229" s="269">
        <v>2E-3</v>
      </c>
    </row>
    <row r="230" spans="1:18" s="265" customFormat="1" ht="12.75">
      <c r="A230" s="358" t="s">
        <v>1344</v>
      </c>
      <c r="B230" s="358" t="s">
        <v>1345</v>
      </c>
      <c r="C230" s="357" t="s">
        <v>1346</v>
      </c>
      <c r="D230" s="359"/>
      <c r="E230" s="360"/>
      <c r="F230" s="361">
        <v>5</v>
      </c>
      <c r="G230" s="362">
        <v>8.49</v>
      </c>
      <c r="H230" s="362">
        <v>14.95</v>
      </c>
      <c r="I230" s="361" t="s">
        <v>1050</v>
      </c>
      <c r="J230" s="363">
        <v>3.1E-2</v>
      </c>
      <c r="K230" s="364">
        <v>140</v>
      </c>
      <c r="L230" s="364">
        <v>4.6700000000000008</v>
      </c>
      <c r="M230" s="365" t="s">
        <v>1023</v>
      </c>
      <c r="N230" s="364">
        <v>1.2E-2</v>
      </c>
      <c r="O230" s="364">
        <v>35</v>
      </c>
      <c r="P230" s="365">
        <v>1.1200000000000001</v>
      </c>
      <c r="Q230" s="365" t="s">
        <v>1051</v>
      </c>
      <c r="R230" s="364">
        <v>2.2000000000000001E-3</v>
      </c>
    </row>
    <row r="231" spans="1:18" s="265" customFormat="1" ht="12.75">
      <c r="A231" s="358" t="s">
        <v>1347</v>
      </c>
      <c r="B231" s="358" t="s">
        <v>1348</v>
      </c>
      <c r="C231" s="357" t="s">
        <v>1349</v>
      </c>
      <c r="D231" s="359"/>
      <c r="E231" s="360"/>
      <c r="F231" s="361">
        <v>10</v>
      </c>
      <c r="G231" s="362">
        <v>14.18</v>
      </c>
      <c r="H231" s="362">
        <v>24.95</v>
      </c>
      <c r="I231" s="361" t="s">
        <v>1052</v>
      </c>
      <c r="J231" s="363">
        <v>4.3999999999999997E-2</v>
      </c>
      <c r="K231" s="364">
        <v>140</v>
      </c>
      <c r="L231" s="364">
        <v>6.3500000000000005</v>
      </c>
      <c r="M231" s="365" t="s">
        <v>1023</v>
      </c>
      <c r="N231" s="364">
        <v>1.2E-2</v>
      </c>
      <c r="O231" s="364">
        <v>35</v>
      </c>
      <c r="P231" s="365">
        <v>1.54</v>
      </c>
      <c r="Q231" s="365" t="s">
        <v>1053</v>
      </c>
      <c r="R231" s="364">
        <v>2.2000000000000001E-3</v>
      </c>
    </row>
    <row r="232" spans="1:18" s="265" customFormat="1" ht="12.75">
      <c r="A232" s="217" t="s">
        <v>862</v>
      </c>
      <c r="B232" s="217" t="s">
        <v>863</v>
      </c>
      <c r="C232" s="266" t="s">
        <v>864</v>
      </c>
      <c r="D232" s="189"/>
      <c r="E232" s="190"/>
      <c r="F232" s="323">
        <v>5</v>
      </c>
      <c r="G232" s="341">
        <v>10.199999999999999</v>
      </c>
      <c r="H232" s="341">
        <v>17.95</v>
      </c>
      <c r="I232" s="323" t="s">
        <v>1050</v>
      </c>
      <c r="J232" s="327">
        <v>3.1E-2</v>
      </c>
      <c r="K232" s="267">
        <v>140</v>
      </c>
      <c r="L232" s="267">
        <v>4.6700000000000008</v>
      </c>
      <c r="M232" s="268" t="s">
        <v>1023</v>
      </c>
      <c r="N232" s="267">
        <v>1.2E-2</v>
      </c>
      <c r="O232" s="269">
        <v>35</v>
      </c>
      <c r="P232" s="270">
        <v>1.1200000000000001</v>
      </c>
      <c r="Q232" s="270" t="s">
        <v>1051</v>
      </c>
      <c r="R232" s="269">
        <v>2.2000000000000001E-3</v>
      </c>
    </row>
    <row r="233" spans="1:18" s="265" customFormat="1" ht="12.75">
      <c r="A233" s="217" t="s">
        <v>865</v>
      </c>
      <c r="B233" s="217" t="s">
        <v>866</v>
      </c>
      <c r="C233" s="266" t="s">
        <v>44</v>
      </c>
      <c r="D233" s="189"/>
      <c r="E233" s="190"/>
      <c r="F233" s="323">
        <v>10</v>
      </c>
      <c r="G233" s="341">
        <v>17.02</v>
      </c>
      <c r="H233" s="341">
        <v>29.95</v>
      </c>
      <c r="I233" s="323" t="s">
        <v>1052</v>
      </c>
      <c r="J233" s="327">
        <v>4.3999999999999997E-2</v>
      </c>
      <c r="K233" s="267">
        <v>140</v>
      </c>
      <c r="L233" s="267">
        <v>6.3500000000000005</v>
      </c>
      <c r="M233" s="268" t="s">
        <v>1023</v>
      </c>
      <c r="N233" s="267">
        <v>1.2E-2</v>
      </c>
      <c r="O233" s="269">
        <v>35</v>
      </c>
      <c r="P233" s="270">
        <v>1.54</v>
      </c>
      <c r="Q233" s="270" t="s">
        <v>1053</v>
      </c>
      <c r="R233" s="269">
        <v>2.2000000000000001E-3</v>
      </c>
    </row>
    <row r="234" spans="1:18" s="265" customFormat="1" ht="12.75">
      <c r="A234" s="217" t="s">
        <v>867</v>
      </c>
      <c r="B234" s="217" t="s">
        <v>868</v>
      </c>
      <c r="C234" s="266" t="s">
        <v>869</v>
      </c>
      <c r="D234" s="189"/>
      <c r="E234" s="190"/>
      <c r="F234" s="323">
        <v>30</v>
      </c>
      <c r="G234" s="341">
        <v>34.06</v>
      </c>
      <c r="H234" s="341">
        <v>59.95</v>
      </c>
      <c r="I234" s="323" t="s">
        <v>1054</v>
      </c>
      <c r="J234" s="327">
        <v>8.4000000000000005E-2</v>
      </c>
      <c r="K234" s="267">
        <v>90</v>
      </c>
      <c r="L234" s="267">
        <v>8.31</v>
      </c>
      <c r="M234" s="268" t="s">
        <v>1021</v>
      </c>
      <c r="N234" s="267">
        <v>1.4E-2</v>
      </c>
      <c r="O234" s="269">
        <v>15</v>
      </c>
      <c r="P234" s="270">
        <v>1.34</v>
      </c>
      <c r="Q234" s="270" t="s">
        <v>1055</v>
      </c>
      <c r="R234" s="269">
        <v>2E-3</v>
      </c>
    </row>
    <row r="235" spans="1:18" s="265" customFormat="1" ht="12.75">
      <c r="A235" s="358" t="s">
        <v>870</v>
      </c>
      <c r="B235" s="358" t="s">
        <v>871</v>
      </c>
      <c r="C235" s="357" t="s">
        <v>362</v>
      </c>
      <c r="D235" s="359"/>
      <c r="E235" s="360"/>
      <c r="F235" s="361">
        <v>5</v>
      </c>
      <c r="G235" s="362">
        <v>11.34</v>
      </c>
      <c r="H235" s="362">
        <v>19.95</v>
      </c>
      <c r="I235" s="361" t="s">
        <v>1050</v>
      </c>
      <c r="J235" s="363">
        <v>3.1E-2</v>
      </c>
      <c r="K235" s="364">
        <v>140</v>
      </c>
      <c r="L235" s="364">
        <v>4.6700000000000008</v>
      </c>
      <c r="M235" s="365" t="s">
        <v>1023</v>
      </c>
      <c r="N235" s="364">
        <v>1.2E-2</v>
      </c>
      <c r="O235" s="364">
        <v>35</v>
      </c>
      <c r="P235" s="365">
        <v>1.1200000000000001</v>
      </c>
      <c r="Q235" s="365" t="s">
        <v>1051</v>
      </c>
      <c r="R235" s="364">
        <v>2.2000000000000001E-3</v>
      </c>
    </row>
    <row r="236" spans="1:18" s="265" customFormat="1" ht="12.75">
      <c r="A236" s="358" t="s">
        <v>872</v>
      </c>
      <c r="B236" s="358" t="s">
        <v>873</v>
      </c>
      <c r="C236" s="357" t="s">
        <v>45</v>
      </c>
      <c r="D236" s="359"/>
      <c r="E236" s="360"/>
      <c r="F236" s="361">
        <v>10</v>
      </c>
      <c r="G236" s="362">
        <v>17.02</v>
      </c>
      <c r="H236" s="362">
        <v>29.95</v>
      </c>
      <c r="I236" s="361" t="s">
        <v>1052</v>
      </c>
      <c r="J236" s="363">
        <v>4.3999999999999997E-2</v>
      </c>
      <c r="K236" s="364">
        <v>140</v>
      </c>
      <c r="L236" s="364">
        <v>6.3500000000000005</v>
      </c>
      <c r="M236" s="365" t="s">
        <v>1023</v>
      </c>
      <c r="N236" s="364">
        <v>1.2E-2</v>
      </c>
      <c r="O236" s="364">
        <v>35</v>
      </c>
      <c r="P236" s="365">
        <v>1.54</v>
      </c>
      <c r="Q236" s="365" t="s">
        <v>1053</v>
      </c>
      <c r="R236" s="364">
        <v>2.2000000000000001E-3</v>
      </c>
    </row>
    <row r="237" spans="1:18" s="265" customFormat="1" ht="12.75">
      <c r="A237" s="358" t="s">
        <v>874</v>
      </c>
      <c r="B237" s="358" t="s">
        <v>875</v>
      </c>
      <c r="C237" s="357" t="s">
        <v>365</v>
      </c>
      <c r="D237" s="359"/>
      <c r="E237" s="360"/>
      <c r="F237" s="361">
        <v>30</v>
      </c>
      <c r="G237" s="362">
        <v>34.06</v>
      </c>
      <c r="H237" s="362">
        <v>59.95</v>
      </c>
      <c r="I237" s="361" t="s">
        <v>1054</v>
      </c>
      <c r="J237" s="363">
        <v>8.4000000000000005E-2</v>
      </c>
      <c r="K237" s="364">
        <v>90</v>
      </c>
      <c r="L237" s="364">
        <v>8.31</v>
      </c>
      <c r="M237" s="365" t="s">
        <v>1021</v>
      </c>
      <c r="N237" s="364">
        <v>1.4E-2</v>
      </c>
      <c r="O237" s="364">
        <v>15</v>
      </c>
      <c r="P237" s="365">
        <v>1.34</v>
      </c>
      <c r="Q237" s="365" t="s">
        <v>1055</v>
      </c>
      <c r="R237" s="364">
        <v>2E-3</v>
      </c>
    </row>
    <row r="238" spans="1:18" s="265" customFormat="1" ht="12.75">
      <c r="A238" s="217" t="s">
        <v>876</v>
      </c>
      <c r="B238" s="217" t="s">
        <v>366</v>
      </c>
      <c r="C238" s="266" t="s">
        <v>877</v>
      </c>
      <c r="D238" s="189"/>
      <c r="E238" s="190"/>
      <c r="F238" s="323">
        <v>5</v>
      </c>
      <c r="G238" s="341">
        <v>11.34</v>
      </c>
      <c r="H238" s="341">
        <v>19.95</v>
      </c>
      <c r="I238" s="323" t="s">
        <v>1050</v>
      </c>
      <c r="J238" s="327">
        <v>3.1E-2</v>
      </c>
      <c r="K238" s="267">
        <v>140</v>
      </c>
      <c r="L238" s="267">
        <v>4.6700000000000008</v>
      </c>
      <c r="M238" s="268" t="s">
        <v>1023</v>
      </c>
      <c r="N238" s="267">
        <v>1.2E-2</v>
      </c>
      <c r="O238" s="269">
        <v>35</v>
      </c>
      <c r="P238" s="270">
        <v>1.1200000000000001</v>
      </c>
      <c r="Q238" s="270" t="s">
        <v>1051</v>
      </c>
      <c r="R238" s="269">
        <v>2.2000000000000001E-3</v>
      </c>
    </row>
    <row r="239" spans="1:18" s="265" customFormat="1" ht="12.75">
      <c r="A239" s="217" t="s">
        <v>878</v>
      </c>
      <c r="B239" s="217" t="s">
        <v>879</v>
      </c>
      <c r="C239" s="266" t="s">
        <v>46</v>
      </c>
      <c r="D239" s="189"/>
      <c r="E239" s="190"/>
      <c r="F239" s="323">
        <v>10</v>
      </c>
      <c r="G239" s="341">
        <v>17.02</v>
      </c>
      <c r="H239" s="341">
        <v>29.95</v>
      </c>
      <c r="I239" s="323" t="s">
        <v>1052</v>
      </c>
      <c r="J239" s="327">
        <v>4.3999999999999997E-2</v>
      </c>
      <c r="K239" s="267">
        <v>140</v>
      </c>
      <c r="L239" s="267">
        <v>6.3500000000000005</v>
      </c>
      <c r="M239" s="268" t="s">
        <v>1023</v>
      </c>
      <c r="N239" s="267">
        <v>1.2E-2</v>
      </c>
      <c r="O239" s="269">
        <v>35</v>
      </c>
      <c r="P239" s="270">
        <v>1.54</v>
      </c>
      <c r="Q239" s="270" t="s">
        <v>1053</v>
      </c>
      <c r="R239" s="269">
        <v>2.2000000000000001E-3</v>
      </c>
    </row>
    <row r="240" spans="1:18" s="265" customFormat="1" ht="12.75">
      <c r="A240" s="217" t="s">
        <v>880</v>
      </c>
      <c r="B240" s="217" t="s">
        <v>881</v>
      </c>
      <c r="C240" s="266" t="s">
        <v>882</v>
      </c>
      <c r="D240" s="189"/>
      <c r="E240" s="190"/>
      <c r="F240" s="323">
        <v>30</v>
      </c>
      <c r="G240" s="341">
        <v>34.06</v>
      </c>
      <c r="H240" s="341">
        <v>59.95</v>
      </c>
      <c r="I240" s="323" t="s">
        <v>1054</v>
      </c>
      <c r="J240" s="327">
        <v>8.4000000000000005E-2</v>
      </c>
      <c r="K240" s="267">
        <v>90</v>
      </c>
      <c r="L240" s="267">
        <v>8.31</v>
      </c>
      <c r="M240" s="268" t="s">
        <v>1021</v>
      </c>
      <c r="N240" s="267">
        <v>1.4E-2</v>
      </c>
      <c r="O240" s="269">
        <v>15</v>
      </c>
      <c r="P240" s="270">
        <v>1.34</v>
      </c>
      <c r="Q240" s="270" t="s">
        <v>1055</v>
      </c>
      <c r="R240" s="269">
        <v>2E-3</v>
      </c>
    </row>
    <row r="241" spans="1:18" s="265" customFormat="1" ht="12.75">
      <c r="A241" s="358" t="s">
        <v>883</v>
      </c>
      <c r="B241" s="358" t="s">
        <v>884</v>
      </c>
      <c r="C241" s="357" t="s">
        <v>47</v>
      </c>
      <c r="D241" s="359"/>
      <c r="E241" s="360"/>
      <c r="F241" s="361">
        <v>2</v>
      </c>
      <c r="G241" s="362">
        <v>90.88</v>
      </c>
      <c r="H241" s="362">
        <v>159.94999999999999</v>
      </c>
      <c r="I241" s="361" t="s">
        <v>1050</v>
      </c>
      <c r="J241" s="363">
        <v>2.8000000000000001E-2</v>
      </c>
      <c r="K241" s="364">
        <v>140</v>
      </c>
      <c r="L241" s="364">
        <v>4.3100000000000005</v>
      </c>
      <c r="M241" s="365" t="s">
        <v>1023</v>
      </c>
      <c r="N241" s="364">
        <v>1.2E-2</v>
      </c>
      <c r="O241" s="364">
        <v>35</v>
      </c>
      <c r="P241" s="365">
        <v>1.03</v>
      </c>
      <c r="Q241" s="365" t="s">
        <v>1051</v>
      </c>
      <c r="R241" s="364">
        <v>2.2000000000000001E-3</v>
      </c>
    </row>
    <row r="242" spans="1:18" s="265" customFormat="1" ht="12.75">
      <c r="A242" s="358" t="s">
        <v>885</v>
      </c>
      <c r="B242" s="358" t="s">
        <v>886</v>
      </c>
      <c r="C242" s="357" t="s">
        <v>887</v>
      </c>
      <c r="D242" s="359"/>
      <c r="E242" s="360"/>
      <c r="F242" s="361">
        <v>5</v>
      </c>
      <c r="G242" s="362">
        <v>227.24</v>
      </c>
      <c r="H242" s="362">
        <v>399.95</v>
      </c>
      <c r="I242" s="361" t="s">
        <v>1050</v>
      </c>
      <c r="J242" s="363">
        <v>3.1E-2</v>
      </c>
      <c r="K242" s="364">
        <v>140</v>
      </c>
      <c r="L242" s="364">
        <v>4.6700000000000008</v>
      </c>
      <c r="M242" s="365" t="s">
        <v>1023</v>
      </c>
      <c r="N242" s="364">
        <v>1.2E-2</v>
      </c>
      <c r="O242" s="364">
        <v>35</v>
      </c>
      <c r="P242" s="365">
        <v>1.1200000000000001</v>
      </c>
      <c r="Q242" s="365" t="s">
        <v>1051</v>
      </c>
      <c r="R242" s="364">
        <v>2.2000000000000001E-3</v>
      </c>
    </row>
    <row r="243" spans="1:18" s="265" customFormat="1" ht="12.75">
      <c r="A243" s="358" t="s">
        <v>888</v>
      </c>
      <c r="B243" s="358" t="s">
        <v>889</v>
      </c>
      <c r="C243" s="357" t="s">
        <v>48</v>
      </c>
      <c r="D243" s="359"/>
      <c r="E243" s="360"/>
      <c r="F243" s="361">
        <v>10</v>
      </c>
      <c r="G243" s="362">
        <v>357.93</v>
      </c>
      <c r="H243" s="362">
        <v>629.95000000000005</v>
      </c>
      <c r="I243" s="361" t="s">
        <v>1052</v>
      </c>
      <c r="J243" s="363">
        <v>4.3999999999999997E-2</v>
      </c>
      <c r="K243" s="364">
        <v>140</v>
      </c>
      <c r="L243" s="364">
        <v>6.3500000000000005</v>
      </c>
      <c r="M243" s="365" t="s">
        <v>1023</v>
      </c>
      <c r="N243" s="364">
        <v>1.2E-2</v>
      </c>
      <c r="O243" s="364">
        <v>35</v>
      </c>
      <c r="P243" s="365">
        <v>1.54</v>
      </c>
      <c r="Q243" s="365" t="s">
        <v>1053</v>
      </c>
      <c r="R243" s="364">
        <v>2.2000000000000001E-3</v>
      </c>
    </row>
    <row r="244" spans="1:18" s="265" customFormat="1" ht="12.75">
      <c r="A244" s="358" t="s">
        <v>890</v>
      </c>
      <c r="B244" s="358" t="s">
        <v>891</v>
      </c>
      <c r="C244" s="357" t="s">
        <v>892</v>
      </c>
      <c r="D244" s="359"/>
      <c r="E244" s="360"/>
      <c r="F244" s="361">
        <v>30</v>
      </c>
      <c r="G244" s="362">
        <v>852.24</v>
      </c>
      <c r="H244" s="362">
        <v>1499.95</v>
      </c>
      <c r="I244" s="361" t="s">
        <v>1054</v>
      </c>
      <c r="J244" s="363">
        <v>8.4000000000000005E-2</v>
      </c>
      <c r="K244" s="364">
        <v>90</v>
      </c>
      <c r="L244" s="364">
        <v>8.31</v>
      </c>
      <c r="M244" s="365" t="s">
        <v>1021</v>
      </c>
      <c r="N244" s="364">
        <v>1.4E-2</v>
      </c>
      <c r="O244" s="364">
        <v>15</v>
      </c>
      <c r="P244" s="365">
        <v>1.34</v>
      </c>
      <c r="Q244" s="365" t="s">
        <v>1055</v>
      </c>
      <c r="R244" s="364">
        <v>2E-3</v>
      </c>
    </row>
    <row r="245" spans="1:18" s="265" customFormat="1" ht="12.75">
      <c r="A245" s="217" t="s">
        <v>893</v>
      </c>
      <c r="B245" s="217" t="s">
        <v>894</v>
      </c>
      <c r="C245" s="266" t="s">
        <v>895</v>
      </c>
      <c r="D245" s="189"/>
      <c r="E245" s="190"/>
      <c r="F245" s="323">
        <v>5</v>
      </c>
      <c r="G245" s="341">
        <v>5.09</v>
      </c>
      <c r="H245" s="341">
        <v>8.9499999999999993</v>
      </c>
      <c r="I245" s="323" t="s">
        <v>1050</v>
      </c>
      <c r="J245" s="327">
        <v>3.1E-2</v>
      </c>
      <c r="K245" s="267">
        <v>140</v>
      </c>
      <c r="L245" s="267">
        <v>4.6700000000000008</v>
      </c>
      <c r="M245" s="268" t="s">
        <v>1023</v>
      </c>
      <c r="N245" s="267">
        <v>1.2E-2</v>
      </c>
      <c r="O245" s="269">
        <v>35</v>
      </c>
      <c r="P245" s="270">
        <v>1.1200000000000001</v>
      </c>
      <c r="Q245" s="270" t="s">
        <v>1051</v>
      </c>
      <c r="R245" s="269">
        <v>2.2000000000000001E-3</v>
      </c>
    </row>
    <row r="246" spans="1:18" s="265" customFormat="1" ht="12.75">
      <c r="A246" s="217" t="s">
        <v>896</v>
      </c>
      <c r="B246" s="217" t="s">
        <v>374</v>
      </c>
      <c r="C246" s="266" t="s">
        <v>49</v>
      </c>
      <c r="D246" s="189"/>
      <c r="E246" s="190"/>
      <c r="F246" s="323">
        <v>10</v>
      </c>
      <c r="G246" s="341">
        <v>6.79</v>
      </c>
      <c r="H246" s="341">
        <v>11.95</v>
      </c>
      <c r="I246" s="323" t="s">
        <v>1052</v>
      </c>
      <c r="J246" s="327">
        <v>4.3999999999999997E-2</v>
      </c>
      <c r="K246" s="267">
        <v>140</v>
      </c>
      <c r="L246" s="267">
        <v>6.3500000000000005</v>
      </c>
      <c r="M246" s="268" t="s">
        <v>1023</v>
      </c>
      <c r="N246" s="267">
        <v>1.2E-2</v>
      </c>
      <c r="O246" s="269">
        <v>35</v>
      </c>
      <c r="P246" s="270">
        <v>1.54</v>
      </c>
      <c r="Q246" s="270" t="s">
        <v>1053</v>
      </c>
      <c r="R246" s="269">
        <v>2.2000000000000001E-3</v>
      </c>
    </row>
    <row r="247" spans="1:18" s="265" customFormat="1" ht="12.75">
      <c r="A247" s="217" t="s">
        <v>897</v>
      </c>
      <c r="B247" s="217" t="s">
        <v>898</v>
      </c>
      <c r="C247" s="266" t="s">
        <v>899</v>
      </c>
      <c r="D247" s="189"/>
      <c r="E247" s="190"/>
      <c r="F247" s="323">
        <v>30</v>
      </c>
      <c r="G247" s="341">
        <v>14.18</v>
      </c>
      <c r="H247" s="341">
        <v>24.95</v>
      </c>
      <c r="I247" s="323" t="s">
        <v>1054</v>
      </c>
      <c r="J247" s="327">
        <v>8.4000000000000005E-2</v>
      </c>
      <c r="K247" s="267">
        <v>90</v>
      </c>
      <c r="L247" s="267">
        <v>8.31</v>
      </c>
      <c r="M247" s="268" t="s">
        <v>1021</v>
      </c>
      <c r="N247" s="267">
        <v>1.4E-2</v>
      </c>
      <c r="O247" s="269">
        <v>15</v>
      </c>
      <c r="P247" s="270">
        <v>1.34</v>
      </c>
      <c r="Q247" s="270" t="s">
        <v>1055</v>
      </c>
      <c r="R247" s="269">
        <v>2E-3</v>
      </c>
    </row>
    <row r="248" spans="1:18" s="265" customFormat="1" ht="12.75">
      <c r="A248" s="358" t="s">
        <v>900</v>
      </c>
      <c r="B248" s="358" t="s">
        <v>901</v>
      </c>
      <c r="C248" s="357" t="s">
        <v>902</v>
      </c>
      <c r="D248" s="359"/>
      <c r="E248" s="360"/>
      <c r="F248" s="361">
        <v>5</v>
      </c>
      <c r="G248" s="362">
        <v>9.6300000000000008</v>
      </c>
      <c r="H248" s="362">
        <v>16.95</v>
      </c>
      <c r="I248" s="361" t="s">
        <v>1050</v>
      </c>
      <c r="J248" s="363">
        <v>3.1E-2</v>
      </c>
      <c r="K248" s="364">
        <v>140</v>
      </c>
      <c r="L248" s="364">
        <v>4.6700000000000008</v>
      </c>
      <c r="M248" s="365" t="s">
        <v>1023</v>
      </c>
      <c r="N248" s="364">
        <v>1.2E-2</v>
      </c>
      <c r="O248" s="364">
        <v>35</v>
      </c>
      <c r="P248" s="365">
        <v>1.1200000000000001</v>
      </c>
      <c r="Q248" s="365" t="s">
        <v>1051</v>
      </c>
      <c r="R248" s="364">
        <v>2.2000000000000001E-3</v>
      </c>
    </row>
    <row r="249" spans="1:18" s="265" customFormat="1" ht="12.75">
      <c r="A249" s="358" t="s">
        <v>903</v>
      </c>
      <c r="B249" s="358" t="s">
        <v>377</v>
      </c>
      <c r="C249" s="357" t="s">
        <v>50</v>
      </c>
      <c r="D249" s="359"/>
      <c r="E249" s="360"/>
      <c r="F249" s="361">
        <v>10</v>
      </c>
      <c r="G249" s="362">
        <v>17.02</v>
      </c>
      <c r="H249" s="362">
        <v>29.95</v>
      </c>
      <c r="I249" s="361" t="s">
        <v>1052</v>
      </c>
      <c r="J249" s="363">
        <v>4.3999999999999997E-2</v>
      </c>
      <c r="K249" s="364">
        <v>140</v>
      </c>
      <c r="L249" s="364">
        <v>6.3500000000000005</v>
      </c>
      <c r="M249" s="365" t="s">
        <v>1023</v>
      </c>
      <c r="N249" s="364">
        <v>1.2E-2</v>
      </c>
      <c r="O249" s="364">
        <v>35</v>
      </c>
      <c r="P249" s="365">
        <v>1.54</v>
      </c>
      <c r="Q249" s="365" t="s">
        <v>1053</v>
      </c>
      <c r="R249" s="364">
        <v>2.2000000000000001E-3</v>
      </c>
    </row>
    <row r="250" spans="1:18" s="265" customFormat="1" ht="12.75">
      <c r="A250" s="358" t="s">
        <v>904</v>
      </c>
      <c r="B250" s="358" t="s">
        <v>905</v>
      </c>
      <c r="C250" s="357" t="s">
        <v>906</v>
      </c>
      <c r="D250" s="359"/>
      <c r="E250" s="360"/>
      <c r="F250" s="361">
        <v>30</v>
      </c>
      <c r="G250" s="362">
        <v>34.06</v>
      </c>
      <c r="H250" s="362">
        <v>59.95</v>
      </c>
      <c r="I250" s="361" t="s">
        <v>1054</v>
      </c>
      <c r="J250" s="363">
        <v>8.4000000000000005E-2</v>
      </c>
      <c r="K250" s="364">
        <v>90</v>
      </c>
      <c r="L250" s="364">
        <v>8.31</v>
      </c>
      <c r="M250" s="365" t="s">
        <v>1021</v>
      </c>
      <c r="N250" s="364">
        <v>1.4E-2</v>
      </c>
      <c r="O250" s="364">
        <v>15</v>
      </c>
      <c r="P250" s="365">
        <v>1.34</v>
      </c>
      <c r="Q250" s="365" t="s">
        <v>1055</v>
      </c>
      <c r="R250" s="364">
        <v>2E-3</v>
      </c>
    </row>
    <row r="251" spans="1:18" s="265" customFormat="1" ht="12.75">
      <c r="A251" s="217" t="s">
        <v>907</v>
      </c>
      <c r="B251" s="217" t="s">
        <v>908</v>
      </c>
      <c r="C251" s="266" t="s">
        <v>51</v>
      </c>
      <c r="D251" s="189"/>
      <c r="E251" s="190"/>
      <c r="F251" s="323">
        <v>2</v>
      </c>
      <c r="G251" s="341">
        <v>19.86</v>
      </c>
      <c r="H251" s="341">
        <v>38.438400000000009</v>
      </c>
      <c r="I251" s="323" t="s">
        <v>1050</v>
      </c>
      <c r="J251" s="327">
        <v>2.8000000000000001E-2</v>
      </c>
      <c r="K251" s="267">
        <v>140</v>
      </c>
      <c r="L251" s="267">
        <v>4.3100000000000005</v>
      </c>
      <c r="M251" s="268" t="s">
        <v>1023</v>
      </c>
      <c r="N251" s="267">
        <v>1.2E-2</v>
      </c>
      <c r="O251" s="269">
        <v>35</v>
      </c>
      <c r="P251" s="270">
        <v>1.03</v>
      </c>
      <c r="Q251" s="270" t="s">
        <v>1051</v>
      </c>
      <c r="R251" s="269">
        <v>2.2000000000000001E-3</v>
      </c>
    </row>
    <row r="252" spans="1:18" s="265" customFormat="1" ht="12.75">
      <c r="A252" s="217" t="s">
        <v>909</v>
      </c>
      <c r="B252" s="217" t="s">
        <v>910</v>
      </c>
      <c r="C252" s="266" t="s">
        <v>911</v>
      </c>
      <c r="D252" s="189"/>
      <c r="E252" s="190"/>
      <c r="F252" s="323">
        <v>5</v>
      </c>
      <c r="G252" s="341">
        <v>49.97</v>
      </c>
      <c r="H252" s="341">
        <v>87.947200000000009</v>
      </c>
      <c r="I252" s="323" t="s">
        <v>1050</v>
      </c>
      <c r="J252" s="327">
        <v>3.1E-2</v>
      </c>
      <c r="K252" s="267">
        <v>140</v>
      </c>
      <c r="L252" s="267">
        <v>4.6700000000000008</v>
      </c>
      <c r="M252" s="268" t="s">
        <v>1023</v>
      </c>
      <c r="N252" s="267">
        <v>1.2E-2</v>
      </c>
      <c r="O252" s="269">
        <v>35</v>
      </c>
      <c r="P252" s="270">
        <v>1.1200000000000001</v>
      </c>
      <c r="Q252" s="270" t="s">
        <v>1051</v>
      </c>
      <c r="R252" s="269">
        <v>2.2000000000000001E-3</v>
      </c>
    </row>
    <row r="253" spans="1:18" s="265" customFormat="1" ht="12.75">
      <c r="A253" s="217" t="s">
        <v>912</v>
      </c>
      <c r="B253" s="217" t="s">
        <v>913</v>
      </c>
      <c r="C253" s="266" t="s">
        <v>52</v>
      </c>
      <c r="D253" s="189"/>
      <c r="E253" s="190"/>
      <c r="F253" s="323">
        <v>10</v>
      </c>
      <c r="G253" s="341">
        <v>68.75</v>
      </c>
      <c r="H253" s="341">
        <v>121.00000000000001</v>
      </c>
      <c r="I253" s="323" t="s">
        <v>1052</v>
      </c>
      <c r="J253" s="327">
        <v>4.3999999999999997E-2</v>
      </c>
      <c r="K253" s="267">
        <v>140</v>
      </c>
      <c r="L253" s="267">
        <v>6.3500000000000005</v>
      </c>
      <c r="M253" s="268" t="s">
        <v>1023</v>
      </c>
      <c r="N253" s="267">
        <v>1.2E-2</v>
      </c>
      <c r="O253" s="269">
        <v>35</v>
      </c>
      <c r="P253" s="270">
        <v>1.54</v>
      </c>
      <c r="Q253" s="270" t="s">
        <v>1053</v>
      </c>
      <c r="R253" s="269">
        <v>2.2000000000000001E-3</v>
      </c>
    </row>
    <row r="254" spans="1:18" s="265" customFormat="1" ht="12.75">
      <c r="A254" s="217" t="s">
        <v>914</v>
      </c>
      <c r="B254" s="217" t="s">
        <v>915</v>
      </c>
      <c r="C254" s="266" t="s">
        <v>916</v>
      </c>
      <c r="D254" s="189"/>
      <c r="E254" s="190"/>
      <c r="F254" s="323">
        <v>30</v>
      </c>
      <c r="G254" s="341">
        <v>137.47</v>
      </c>
      <c r="H254" s="341">
        <v>242.42240000000004</v>
      </c>
      <c r="I254" s="323" t="s">
        <v>1054</v>
      </c>
      <c r="J254" s="327">
        <v>8.4000000000000005E-2</v>
      </c>
      <c r="K254" s="267">
        <v>90</v>
      </c>
      <c r="L254" s="267">
        <v>8.31</v>
      </c>
      <c r="M254" s="268" t="s">
        <v>1021</v>
      </c>
      <c r="N254" s="267">
        <v>1.4E-2</v>
      </c>
      <c r="O254" s="269">
        <v>15</v>
      </c>
      <c r="P254" s="270">
        <v>1.34</v>
      </c>
      <c r="Q254" s="270" t="s">
        <v>1055</v>
      </c>
      <c r="R254" s="269">
        <v>2E-3</v>
      </c>
    </row>
    <row r="255" spans="1:18" s="265" customFormat="1" ht="12.75">
      <c r="A255" s="358" t="s">
        <v>917</v>
      </c>
      <c r="B255" s="358" t="s">
        <v>918</v>
      </c>
      <c r="C255" s="357" t="s">
        <v>919</v>
      </c>
      <c r="D255" s="359"/>
      <c r="E255" s="360"/>
      <c r="F255" s="361">
        <v>5</v>
      </c>
      <c r="G255" s="362">
        <v>8.49</v>
      </c>
      <c r="H255" s="362">
        <v>14.95</v>
      </c>
      <c r="I255" s="361" t="s">
        <v>1050</v>
      </c>
      <c r="J255" s="363">
        <v>3.1E-2</v>
      </c>
      <c r="K255" s="364">
        <v>140</v>
      </c>
      <c r="L255" s="364">
        <v>4.6700000000000008</v>
      </c>
      <c r="M255" s="365" t="s">
        <v>1023</v>
      </c>
      <c r="N255" s="364">
        <v>1.2E-2</v>
      </c>
      <c r="O255" s="364">
        <v>35</v>
      </c>
      <c r="P255" s="365">
        <v>1.1200000000000001</v>
      </c>
      <c r="Q255" s="365" t="s">
        <v>1051</v>
      </c>
      <c r="R255" s="364">
        <v>2.2000000000000001E-3</v>
      </c>
    </row>
    <row r="256" spans="1:18" s="265" customFormat="1" ht="12.75">
      <c r="A256" s="358" t="s">
        <v>920</v>
      </c>
      <c r="B256" s="358" t="s">
        <v>921</v>
      </c>
      <c r="C256" s="357" t="s">
        <v>53</v>
      </c>
      <c r="D256" s="359"/>
      <c r="E256" s="360"/>
      <c r="F256" s="361">
        <v>10</v>
      </c>
      <c r="G256" s="362">
        <v>14.18</v>
      </c>
      <c r="H256" s="362">
        <v>24.95</v>
      </c>
      <c r="I256" s="361" t="s">
        <v>1052</v>
      </c>
      <c r="J256" s="363">
        <v>4.3999999999999997E-2</v>
      </c>
      <c r="K256" s="364">
        <v>140</v>
      </c>
      <c r="L256" s="364">
        <v>6.3500000000000005</v>
      </c>
      <c r="M256" s="365" t="s">
        <v>1023</v>
      </c>
      <c r="N256" s="364">
        <v>1.2E-2</v>
      </c>
      <c r="O256" s="364">
        <v>35</v>
      </c>
      <c r="P256" s="365">
        <v>1.54</v>
      </c>
      <c r="Q256" s="365" t="s">
        <v>1053</v>
      </c>
      <c r="R256" s="364">
        <v>2.2000000000000001E-3</v>
      </c>
    </row>
    <row r="257" spans="1:18" s="265" customFormat="1" ht="12.75">
      <c r="A257" s="358" t="s">
        <v>922</v>
      </c>
      <c r="B257" s="358" t="s">
        <v>923</v>
      </c>
      <c r="C257" s="357" t="s">
        <v>924</v>
      </c>
      <c r="D257" s="359"/>
      <c r="E257" s="360"/>
      <c r="F257" s="361">
        <v>30</v>
      </c>
      <c r="G257" s="362">
        <v>28.38</v>
      </c>
      <c r="H257" s="362">
        <v>49.95</v>
      </c>
      <c r="I257" s="361" t="s">
        <v>1054</v>
      </c>
      <c r="J257" s="363">
        <v>8.4000000000000005E-2</v>
      </c>
      <c r="K257" s="364">
        <v>90</v>
      </c>
      <c r="L257" s="364">
        <v>8.31</v>
      </c>
      <c r="M257" s="365" t="s">
        <v>1021</v>
      </c>
      <c r="N257" s="364">
        <v>1.4E-2</v>
      </c>
      <c r="O257" s="364">
        <v>15</v>
      </c>
      <c r="P257" s="365">
        <v>1.34</v>
      </c>
      <c r="Q257" s="365" t="s">
        <v>1055</v>
      </c>
      <c r="R257" s="364">
        <v>2E-3</v>
      </c>
    </row>
    <row r="258" spans="1:18" s="265" customFormat="1" ht="12.75">
      <c r="A258" s="217" t="s">
        <v>1350</v>
      </c>
      <c r="B258" s="217" t="s">
        <v>1351</v>
      </c>
      <c r="C258" s="266" t="s">
        <v>1352</v>
      </c>
      <c r="D258" s="189"/>
      <c r="E258" s="190"/>
      <c r="F258" s="323">
        <v>2</v>
      </c>
      <c r="G258" s="341">
        <v>22.7</v>
      </c>
      <c r="H258" s="341">
        <v>39.950000000000003</v>
      </c>
      <c r="I258" s="323" t="s">
        <v>1050</v>
      </c>
      <c r="J258" s="327">
        <v>3.1E-2</v>
      </c>
      <c r="K258" s="267">
        <v>140</v>
      </c>
      <c r="L258" s="267">
        <v>4.6700000000000008</v>
      </c>
      <c r="M258" s="268" t="s">
        <v>1023</v>
      </c>
      <c r="N258" s="267">
        <v>1.2E-2</v>
      </c>
      <c r="O258" s="269">
        <v>35</v>
      </c>
      <c r="P258" s="270">
        <v>1.1200000000000001</v>
      </c>
      <c r="Q258" s="270" t="s">
        <v>1051</v>
      </c>
      <c r="R258" s="269">
        <v>2.2000000000000001E-3</v>
      </c>
    </row>
    <row r="259" spans="1:18" s="265" customFormat="1" ht="12.75">
      <c r="A259" s="217" t="s">
        <v>1353</v>
      </c>
      <c r="B259" s="217" t="s">
        <v>1354</v>
      </c>
      <c r="C259" s="266" t="s">
        <v>1355</v>
      </c>
      <c r="D259" s="189"/>
      <c r="E259" s="190"/>
      <c r="F259" s="323">
        <v>5</v>
      </c>
      <c r="G259" s="341">
        <v>39.74</v>
      </c>
      <c r="H259" s="341">
        <v>69.95</v>
      </c>
      <c r="I259" s="323" t="s">
        <v>1050</v>
      </c>
      <c r="J259" s="327">
        <v>3.1E-2</v>
      </c>
      <c r="K259" s="267">
        <v>140</v>
      </c>
      <c r="L259" s="267">
        <v>4.6700000000000008</v>
      </c>
      <c r="M259" s="268" t="s">
        <v>1023</v>
      </c>
      <c r="N259" s="267">
        <v>1.2E-2</v>
      </c>
      <c r="O259" s="269">
        <v>35</v>
      </c>
      <c r="P259" s="270">
        <v>1.1200000000000001</v>
      </c>
      <c r="Q259" s="270" t="s">
        <v>1051</v>
      </c>
      <c r="R259" s="269">
        <v>2.2000000000000001E-3</v>
      </c>
    </row>
    <row r="260" spans="1:18" s="265" customFormat="1" ht="12.75">
      <c r="A260" s="217" t="s">
        <v>1356</v>
      </c>
      <c r="B260" s="217" t="s">
        <v>1357</v>
      </c>
      <c r="C260" s="266" t="s">
        <v>1358</v>
      </c>
      <c r="D260" s="189"/>
      <c r="E260" s="190"/>
      <c r="F260" s="323">
        <v>10</v>
      </c>
      <c r="G260" s="341">
        <v>68.150000000000006</v>
      </c>
      <c r="H260" s="341">
        <v>119.95</v>
      </c>
      <c r="I260" s="323" t="s">
        <v>1052</v>
      </c>
      <c r="J260" s="327">
        <v>4.3999999999999997E-2</v>
      </c>
      <c r="K260" s="267">
        <v>140</v>
      </c>
      <c r="L260" s="267">
        <v>6.3500000000000005</v>
      </c>
      <c r="M260" s="268" t="s">
        <v>1023</v>
      </c>
      <c r="N260" s="267">
        <v>1.2E-2</v>
      </c>
      <c r="O260" s="269">
        <v>35</v>
      </c>
      <c r="P260" s="270">
        <v>1.54</v>
      </c>
      <c r="Q260" s="270" t="s">
        <v>1053</v>
      </c>
      <c r="R260" s="269">
        <v>2.2000000000000001E-3</v>
      </c>
    </row>
    <row r="261" spans="1:18" s="265" customFormat="1" ht="12.75">
      <c r="A261" s="358" t="s">
        <v>925</v>
      </c>
      <c r="B261" s="358" t="s">
        <v>926</v>
      </c>
      <c r="C261" s="357" t="s">
        <v>927</v>
      </c>
      <c r="D261" s="359"/>
      <c r="E261" s="360"/>
      <c r="F261" s="361">
        <v>5</v>
      </c>
      <c r="G261" s="362">
        <v>4.5199999999999996</v>
      </c>
      <c r="H261" s="362">
        <v>7.95</v>
      </c>
      <c r="I261" s="361" t="s">
        <v>1050</v>
      </c>
      <c r="J261" s="363">
        <v>3.1E-2</v>
      </c>
      <c r="K261" s="364">
        <v>140</v>
      </c>
      <c r="L261" s="364">
        <v>4.6700000000000008</v>
      </c>
      <c r="M261" s="365" t="s">
        <v>1023</v>
      </c>
      <c r="N261" s="364">
        <v>1.2E-2</v>
      </c>
      <c r="O261" s="364">
        <v>35</v>
      </c>
      <c r="P261" s="365">
        <v>1.1200000000000001</v>
      </c>
      <c r="Q261" s="365" t="s">
        <v>1051</v>
      </c>
      <c r="R261" s="364">
        <v>2.2000000000000001E-3</v>
      </c>
    </row>
    <row r="262" spans="1:18" s="265" customFormat="1" ht="12.75">
      <c r="A262" s="358" t="s">
        <v>928</v>
      </c>
      <c r="B262" s="358" t="s">
        <v>387</v>
      </c>
      <c r="C262" s="357" t="s">
        <v>54</v>
      </c>
      <c r="D262" s="359"/>
      <c r="E262" s="360"/>
      <c r="F262" s="361">
        <v>10</v>
      </c>
      <c r="G262" s="362">
        <v>5.65</v>
      </c>
      <c r="H262" s="362">
        <v>9.9499999999999993</v>
      </c>
      <c r="I262" s="361" t="s">
        <v>1052</v>
      </c>
      <c r="J262" s="363">
        <v>4.3999999999999997E-2</v>
      </c>
      <c r="K262" s="364">
        <v>140</v>
      </c>
      <c r="L262" s="364">
        <v>6.3500000000000005</v>
      </c>
      <c r="M262" s="365" t="s">
        <v>1023</v>
      </c>
      <c r="N262" s="364">
        <v>1.2E-2</v>
      </c>
      <c r="O262" s="364">
        <v>35</v>
      </c>
      <c r="P262" s="365">
        <v>1.54</v>
      </c>
      <c r="Q262" s="365" t="s">
        <v>1053</v>
      </c>
      <c r="R262" s="364">
        <v>2.2000000000000001E-3</v>
      </c>
    </row>
    <row r="263" spans="1:18" s="265" customFormat="1" ht="12.75">
      <c r="A263" s="358" t="s">
        <v>929</v>
      </c>
      <c r="B263" s="358" t="s">
        <v>930</v>
      </c>
      <c r="C263" s="357" t="s">
        <v>931</v>
      </c>
      <c r="D263" s="359"/>
      <c r="E263" s="360"/>
      <c r="F263" s="361">
        <v>30</v>
      </c>
      <c r="G263" s="362">
        <v>13.04</v>
      </c>
      <c r="H263" s="362">
        <v>22.95</v>
      </c>
      <c r="I263" s="361" t="s">
        <v>1054</v>
      </c>
      <c r="J263" s="363">
        <v>8.4000000000000005E-2</v>
      </c>
      <c r="K263" s="364">
        <v>90</v>
      </c>
      <c r="L263" s="364">
        <v>8.31</v>
      </c>
      <c r="M263" s="365" t="s">
        <v>1021</v>
      </c>
      <c r="N263" s="364">
        <v>1.4E-2</v>
      </c>
      <c r="O263" s="364">
        <v>15</v>
      </c>
      <c r="P263" s="365">
        <v>1.34</v>
      </c>
      <c r="Q263" s="365" t="s">
        <v>1055</v>
      </c>
      <c r="R263" s="364">
        <v>2E-3</v>
      </c>
    </row>
    <row r="264" spans="1:18" s="265" customFormat="1" ht="12.75">
      <c r="A264" s="217" t="s">
        <v>932</v>
      </c>
      <c r="B264" s="217" t="s">
        <v>933</v>
      </c>
      <c r="C264" s="266" t="s">
        <v>390</v>
      </c>
      <c r="D264" s="189"/>
      <c r="E264" s="190"/>
      <c r="F264" s="323">
        <v>5</v>
      </c>
      <c r="G264" s="341">
        <v>14.18</v>
      </c>
      <c r="H264" s="341">
        <v>24.95</v>
      </c>
      <c r="I264" s="323" t="s">
        <v>1050</v>
      </c>
      <c r="J264" s="327">
        <v>3.1E-2</v>
      </c>
      <c r="K264" s="267">
        <v>140</v>
      </c>
      <c r="L264" s="267">
        <v>4.6700000000000008</v>
      </c>
      <c r="M264" s="268" t="s">
        <v>1023</v>
      </c>
      <c r="N264" s="267">
        <v>1.2E-2</v>
      </c>
      <c r="O264" s="269">
        <v>35</v>
      </c>
      <c r="P264" s="270">
        <v>1.1200000000000001</v>
      </c>
      <c r="Q264" s="270" t="s">
        <v>1051</v>
      </c>
      <c r="R264" s="269">
        <v>2.2000000000000001E-3</v>
      </c>
    </row>
    <row r="265" spans="1:18" s="265" customFormat="1" ht="12.75">
      <c r="A265" s="217" t="s">
        <v>934</v>
      </c>
      <c r="B265" s="217" t="s">
        <v>935</v>
      </c>
      <c r="C265" s="266" t="s">
        <v>55</v>
      </c>
      <c r="D265" s="189"/>
      <c r="E265" s="190"/>
      <c r="F265" s="323">
        <v>10</v>
      </c>
      <c r="G265" s="341">
        <v>22.7</v>
      </c>
      <c r="H265" s="341">
        <v>39.950000000000003</v>
      </c>
      <c r="I265" s="323" t="s">
        <v>1052</v>
      </c>
      <c r="J265" s="327">
        <v>4.3999999999999997E-2</v>
      </c>
      <c r="K265" s="267">
        <v>140</v>
      </c>
      <c r="L265" s="267">
        <v>6.3500000000000005</v>
      </c>
      <c r="M265" s="268" t="s">
        <v>1023</v>
      </c>
      <c r="N265" s="267">
        <v>1.2E-2</v>
      </c>
      <c r="O265" s="269">
        <v>35</v>
      </c>
      <c r="P265" s="270">
        <v>1.54</v>
      </c>
      <c r="Q265" s="270" t="s">
        <v>1053</v>
      </c>
      <c r="R265" s="269">
        <v>2.2000000000000001E-3</v>
      </c>
    </row>
    <row r="266" spans="1:18" s="265" customFormat="1" ht="12.75">
      <c r="A266" s="217" t="s">
        <v>936</v>
      </c>
      <c r="B266" s="217" t="s">
        <v>392</v>
      </c>
      <c r="C266" s="266" t="s">
        <v>937</v>
      </c>
      <c r="D266" s="189"/>
      <c r="E266" s="190"/>
      <c r="F266" s="323">
        <v>30</v>
      </c>
      <c r="G266" s="341">
        <v>45.43</v>
      </c>
      <c r="H266" s="341">
        <v>79.95</v>
      </c>
      <c r="I266" s="323" t="s">
        <v>1054</v>
      </c>
      <c r="J266" s="327">
        <v>8.4000000000000005E-2</v>
      </c>
      <c r="K266" s="267">
        <v>90</v>
      </c>
      <c r="L266" s="267">
        <v>8.31</v>
      </c>
      <c r="M266" s="268" t="s">
        <v>1021</v>
      </c>
      <c r="N266" s="267">
        <v>1.4E-2</v>
      </c>
      <c r="O266" s="269">
        <v>15</v>
      </c>
      <c r="P266" s="270">
        <v>1.34</v>
      </c>
      <c r="Q266" s="270" t="s">
        <v>1055</v>
      </c>
      <c r="R266" s="269">
        <v>2E-3</v>
      </c>
    </row>
    <row r="267" spans="1:18" s="265" customFormat="1" ht="12.75">
      <c r="A267" s="358" t="s">
        <v>1359</v>
      </c>
      <c r="B267" s="358" t="s">
        <v>1360</v>
      </c>
      <c r="C267" s="357" t="s">
        <v>1361</v>
      </c>
      <c r="D267" s="359"/>
      <c r="E267" s="360"/>
      <c r="F267" s="361">
        <v>5</v>
      </c>
      <c r="G267" s="362">
        <v>10.64</v>
      </c>
      <c r="H267" s="362">
        <v>18.72</v>
      </c>
      <c r="I267" s="361" t="s">
        <v>1050</v>
      </c>
      <c r="J267" s="363">
        <v>3.1E-2</v>
      </c>
      <c r="K267" s="364">
        <v>140</v>
      </c>
      <c r="L267" s="364">
        <v>4.6700000000000008</v>
      </c>
      <c r="M267" s="365" t="s">
        <v>1023</v>
      </c>
      <c r="N267" s="364">
        <v>1.2E-2</v>
      </c>
      <c r="O267" s="364">
        <v>35</v>
      </c>
      <c r="P267" s="365">
        <v>1.1200000000000001</v>
      </c>
      <c r="Q267" s="365" t="s">
        <v>1051</v>
      </c>
      <c r="R267" s="364">
        <v>2.2000000000000001E-3</v>
      </c>
    </row>
    <row r="268" spans="1:18" s="265" customFormat="1" ht="12.75">
      <c r="A268" s="358" t="s">
        <v>1362</v>
      </c>
      <c r="B268" s="358" t="s">
        <v>1363</v>
      </c>
      <c r="C268" s="357" t="s">
        <v>1364</v>
      </c>
      <c r="D268" s="359"/>
      <c r="E268" s="360"/>
      <c r="F268" s="361">
        <v>10</v>
      </c>
      <c r="G268" s="362">
        <v>15.64</v>
      </c>
      <c r="H268" s="362">
        <v>27.52</v>
      </c>
      <c r="I268" s="361" t="s">
        <v>1052</v>
      </c>
      <c r="J268" s="363">
        <v>4.3999999999999997E-2</v>
      </c>
      <c r="K268" s="364">
        <v>140</v>
      </c>
      <c r="L268" s="364">
        <v>6.3500000000000005</v>
      </c>
      <c r="M268" s="365" t="s">
        <v>1023</v>
      </c>
      <c r="N268" s="364">
        <v>1.2E-2</v>
      </c>
      <c r="O268" s="364">
        <v>35</v>
      </c>
      <c r="P268" s="365">
        <v>1.54</v>
      </c>
      <c r="Q268" s="365" t="s">
        <v>1053</v>
      </c>
      <c r="R268" s="364">
        <v>2.2000000000000001E-3</v>
      </c>
    </row>
    <row r="269" spans="1:18" s="265" customFormat="1" ht="12.75">
      <c r="A269" s="217" t="s">
        <v>938</v>
      </c>
      <c r="B269" s="217" t="s">
        <v>939</v>
      </c>
      <c r="C269" s="266" t="s">
        <v>940</v>
      </c>
      <c r="D269" s="189"/>
      <c r="E269" s="190"/>
      <c r="F269" s="323">
        <v>5</v>
      </c>
      <c r="G269" s="341">
        <v>15.31</v>
      </c>
      <c r="H269" s="341">
        <v>26.95</v>
      </c>
      <c r="I269" s="323" t="s">
        <v>1050</v>
      </c>
      <c r="J269" s="327">
        <v>3.1E-2</v>
      </c>
      <c r="K269" s="267">
        <v>140</v>
      </c>
      <c r="L269" s="267">
        <v>4.6700000000000008</v>
      </c>
      <c r="M269" s="268" t="s">
        <v>1023</v>
      </c>
      <c r="N269" s="267">
        <v>1.2E-2</v>
      </c>
      <c r="O269" s="269">
        <v>35</v>
      </c>
      <c r="P269" s="270">
        <v>1.1200000000000001</v>
      </c>
      <c r="Q269" s="270" t="s">
        <v>1051</v>
      </c>
      <c r="R269" s="269">
        <v>2.2000000000000001E-3</v>
      </c>
    </row>
    <row r="270" spans="1:18" s="265" customFormat="1" ht="12.75">
      <c r="A270" s="217" t="s">
        <v>941</v>
      </c>
      <c r="B270" s="217" t="s">
        <v>942</v>
      </c>
      <c r="C270" s="266" t="s">
        <v>56</v>
      </c>
      <c r="D270" s="189"/>
      <c r="E270" s="190"/>
      <c r="F270" s="323">
        <v>10</v>
      </c>
      <c r="G270" s="341">
        <v>22.7</v>
      </c>
      <c r="H270" s="341">
        <v>39.950000000000003</v>
      </c>
      <c r="I270" s="323" t="s">
        <v>1052</v>
      </c>
      <c r="J270" s="327">
        <v>4.3999999999999997E-2</v>
      </c>
      <c r="K270" s="267">
        <v>140</v>
      </c>
      <c r="L270" s="267">
        <v>6.3500000000000005</v>
      </c>
      <c r="M270" s="268" t="s">
        <v>1023</v>
      </c>
      <c r="N270" s="267">
        <v>1.2E-2</v>
      </c>
      <c r="O270" s="269">
        <v>35</v>
      </c>
      <c r="P270" s="270">
        <v>1.54</v>
      </c>
      <c r="Q270" s="270" t="s">
        <v>1053</v>
      </c>
      <c r="R270" s="269">
        <v>2.2000000000000001E-3</v>
      </c>
    </row>
    <row r="271" spans="1:18" s="265" customFormat="1" ht="12.75">
      <c r="A271" s="217" t="s">
        <v>943</v>
      </c>
      <c r="B271" s="217" t="s">
        <v>944</v>
      </c>
      <c r="C271" s="266" t="s">
        <v>945</v>
      </c>
      <c r="D271" s="189"/>
      <c r="E271" s="190"/>
      <c r="F271" s="323">
        <v>30</v>
      </c>
      <c r="G271" s="341">
        <v>51.11</v>
      </c>
      <c r="H271" s="341">
        <v>89.95</v>
      </c>
      <c r="I271" s="323" t="s">
        <v>1054</v>
      </c>
      <c r="J271" s="327">
        <v>8.4000000000000005E-2</v>
      </c>
      <c r="K271" s="267">
        <v>90</v>
      </c>
      <c r="L271" s="267">
        <v>8.31</v>
      </c>
      <c r="M271" s="268" t="s">
        <v>1021</v>
      </c>
      <c r="N271" s="267">
        <v>1.4E-2</v>
      </c>
      <c r="O271" s="269">
        <v>15</v>
      </c>
      <c r="P271" s="270">
        <v>1.34</v>
      </c>
      <c r="Q271" s="270" t="s">
        <v>1055</v>
      </c>
      <c r="R271" s="269">
        <v>2E-3</v>
      </c>
    </row>
    <row r="272" spans="1:18" s="265" customFormat="1" ht="12.75">
      <c r="A272" s="358" t="s">
        <v>946</v>
      </c>
      <c r="B272" s="358" t="s">
        <v>947</v>
      </c>
      <c r="C272" s="357" t="s">
        <v>397</v>
      </c>
      <c r="D272" s="359"/>
      <c r="E272" s="360"/>
      <c r="F272" s="361">
        <v>5</v>
      </c>
      <c r="G272" s="362">
        <v>15.31</v>
      </c>
      <c r="H272" s="362">
        <v>26.95</v>
      </c>
      <c r="I272" s="361" t="s">
        <v>1050</v>
      </c>
      <c r="J272" s="363">
        <v>3.1E-2</v>
      </c>
      <c r="K272" s="364">
        <v>140</v>
      </c>
      <c r="L272" s="364">
        <v>4.6700000000000008</v>
      </c>
      <c r="M272" s="365" t="s">
        <v>1023</v>
      </c>
      <c r="N272" s="364">
        <v>1.2E-2</v>
      </c>
      <c r="O272" s="364">
        <v>35</v>
      </c>
      <c r="P272" s="365">
        <v>1.1200000000000001</v>
      </c>
      <c r="Q272" s="365" t="s">
        <v>1051</v>
      </c>
      <c r="R272" s="364">
        <v>2.2000000000000001E-3</v>
      </c>
    </row>
    <row r="273" spans="1:18" s="265" customFormat="1" ht="12.75">
      <c r="A273" s="358" t="s">
        <v>948</v>
      </c>
      <c r="B273" s="358" t="s">
        <v>949</v>
      </c>
      <c r="C273" s="357" t="s">
        <v>57</v>
      </c>
      <c r="D273" s="359"/>
      <c r="E273" s="360"/>
      <c r="F273" s="361">
        <v>10</v>
      </c>
      <c r="G273" s="362">
        <v>22.7</v>
      </c>
      <c r="H273" s="362">
        <v>39.950000000000003</v>
      </c>
      <c r="I273" s="361" t="s">
        <v>1052</v>
      </c>
      <c r="J273" s="363">
        <v>4.3999999999999997E-2</v>
      </c>
      <c r="K273" s="364">
        <v>140</v>
      </c>
      <c r="L273" s="364">
        <v>6.3500000000000005</v>
      </c>
      <c r="M273" s="365" t="s">
        <v>1023</v>
      </c>
      <c r="N273" s="364">
        <v>1.2E-2</v>
      </c>
      <c r="O273" s="364">
        <v>35</v>
      </c>
      <c r="P273" s="365">
        <v>1.54</v>
      </c>
      <c r="Q273" s="365" t="s">
        <v>1053</v>
      </c>
      <c r="R273" s="364">
        <v>2.2000000000000001E-3</v>
      </c>
    </row>
    <row r="274" spans="1:18" s="265" customFormat="1" ht="12.75">
      <c r="A274" s="358" t="s">
        <v>950</v>
      </c>
      <c r="B274" s="358" t="s">
        <v>951</v>
      </c>
      <c r="C274" s="357" t="s">
        <v>952</v>
      </c>
      <c r="D274" s="359"/>
      <c r="E274" s="360"/>
      <c r="F274" s="361">
        <v>30</v>
      </c>
      <c r="G274" s="362">
        <v>51.11</v>
      </c>
      <c r="H274" s="362">
        <v>89.95</v>
      </c>
      <c r="I274" s="361" t="s">
        <v>1054</v>
      </c>
      <c r="J274" s="363">
        <v>8.4000000000000005E-2</v>
      </c>
      <c r="K274" s="364">
        <v>90</v>
      </c>
      <c r="L274" s="364">
        <v>8.31</v>
      </c>
      <c r="M274" s="365" t="s">
        <v>1021</v>
      </c>
      <c r="N274" s="364">
        <v>1.4E-2</v>
      </c>
      <c r="O274" s="364">
        <v>15</v>
      </c>
      <c r="P274" s="365">
        <v>1.34</v>
      </c>
      <c r="Q274" s="365" t="s">
        <v>1055</v>
      </c>
      <c r="R274" s="364">
        <v>2E-3</v>
      </c>
    </row>
    <row r="275" spans="1:18" s="265" customFormat="1" ht="12.75">
      <c r="A275" s="217" t="s">
        <v>953</v>
      </c>
      <c r="B275" s="217" t="s">
        <v>954</v>
      </c>
      <c r="C275" s="266" t="s">
        <v>955</v>
      </c>
      <c r="D275" s="189"/>
      <c r="E275" s="190"/>
      <c r="F275" s="323">
        <v>5</v>
      </c>
      <c r="G275" s="341">
        <v>8.49</v>
      </c>
      <c r="H275" s="341">
        <v>14.95</v>
      </c>
      <c r="I275" s="323" t="s">
        <v>1050</v>
      </c>
      <c r="J275" s="327">
        <v>3.1E-2</v>
      </c>
      <c r="K275" s="267">
        <v>140</v>
      </c>
      <c r="L275" s="267">
        <v>4.6700000000000008</v>
      </c>
      <c r="M275" s="268" t="s">
        <v>1023</v>
      </c>
      <c r="N275" s="267">
        <v>1.2E-2</v>
      </c>
      <c r="O275" s="269">
        <v>35</v>
      </c>
      <c r="P275" s="270">
        <v>1.1200000000000001</v>
      </c>
      <c r="Q275" s="270" t="s">
        <v>1051</v>
      </c>
      <c r="R275" s="269">
        <v>2.2000000000000001E-3</v>
      </c>
    </row>
    <row r="276" spans="1:18" s="265" customFormat="1" ht="12.75">
      <c r="A276" s="217" t="s">
        <v>956</v>
      </c>
      <c r="B276" s="217" t="s">
        <v>957</v>
      </c>
      <c r="C276" s="266" t="s">
        <v>58</v>
      </c>
      <c r="D276" s="189"/>
      <c r="E276" s="190"/>
      <c r="F276" s="323">
        <v>10</v>
      </c>
      <c r="G276" s="341">
        <v>14.18</v>
      </c>
      <c r="H276" s="341">
        <v>24.95</v>
      </c>
      <c r="I276" s="323" t="s">
        <v>1052</v>
      </c>
      <c r="J276" s="327">
        <v>4.3999999999999997E-2</v>
      </c>
      <c r="K276" s="267">
        <v>140</v>
      </c>
      <c r="L276" s="267">
        <v>6.3500000000000005</v>
      </c>
      <c r="M276" s="268" t="s">
        <v>1023</v>
      </c>
      <c r="N276" s="267">
        <v>1.2E-2</v>
      </c>
      <c r="O276" s="269">
        <v>35</v>
      </c>
      <c r="P276" s="270">
        <v>1.54</v>
      </c>
      <c r="Q276" s="270" t="s">
        <v>1053</v>
      </c>
      <c r="R276" s="269">
        <v>2.2000000000000001E-3</v>
      </c>
    </row>
    <row r="277" spans="1:18" s="265" customFormat="1" ht="12.75">
      <c r="A277" s="217" t="s">
        <v>958</v>
      </c>
      <c r="B277" s="217" t="s">
        <v>959</v>
      </c>
      <c r="C277" s="266" t="s">
        <v>403</v>
      </c>
      <c r="D277" s="189"/>
      <c r="E277" s="190"/>
      <c r="F277" s="323">
        <v>30</v>
      </c>
      <c r="G277" s="341">
        <v>28.38</v>
      </c>
      <c r="H277" s="341">
        <v>49.95</v>
      </c>
      <c r="I277" s="323" t="s">
        <v>1054</v>
      </c>
      <c r="J277" s="327">
        <v>8.4000000000000005E-2</v>
      </c>
      <c r="K277" s="267">
        <v>90</v>
      </c>
      <c r="L277" s="267">
        <v>8.31</v>
      </c>
      <c r="M277" s="268" t="s">
        <v>1021</v>
      </c>
      <c r="N277" s="267">
        <v>1.4E-2</v>
      </c>
      <c r="O277" s="269">
        <v>15</v>
      </c>
      <c r="P277" s="270">
        <v>1.34</v>
      </c>
      <c r="Q277" s="270" t="s">
        <v>1055</v>
      </c>
      <c r="R277" s="269">
        <v>2E-3</v>
      </c>
    </row>
    <row r="278" spans="1:18" s="265" customFormat="1" ht="12.75">
      <c r="A278" s="358" t="s">
        <v>960</v>
      </c>
      <c r="B278" s="358" t="s">
        <v>961</v>
      </c>
      <c r="C278" s="357" t="s">
        <v>59</v>
      </c>
      <c r="D278" s="359"/>
      <c r="E278" s="360"/>
      <c r="F278" s="361">
        <v>2</v>
      </c>
      <c r="G278" s="362">
        <v>19.86</v>
      </c>
      <c r="H278" s="362">
        <v>34.950000000000003</v>
      </c>
      <c r="I278" s="361" t="s">
        <v>1050</v>
      </c>
      <c r="J278" s="363">
        <v>2.8000000000000001E-2</v>
      </c>
      <c r="K278" s="364">
        <v>140</v>
      </c>
      <c r="L278" s="364">
        <v>4.3100000000000005</v>
      </c>
      <c r="M278" s="365" t="s">
        <v>1023</v>
      </c>
      <c r="N278" s="364">
        <v>1.2E-2</v>
      </c>
      <c r="O278" s="364">
        <v>35</v>
      </c>
      <c r="P278" s="365">
        <v>1.03</v>
      </c>
      <c r="Q278" s="365" t="s">
        <v>1051</v>
      </c>
      <c r="R278" s="364">
        <v>2.2000000000000001E-3</v>
      </c>
    </row>
    <row r="279" spans="1:18" s="265" customFormat="1" ht="12.75">
      <c r="A279" s="358" t="s">
        <v>962</v>
      </c>
      <c r="B279" s="358" t="s">
        <v>963</v>
      </c>
      <c r="C279" s="357" t="s">
        <v>964</v>
      </c>
      <c r="D279" s="359"/>
      <c r="E279" s="360"/>
      <c r="F279" s="361">
        <v>5</v>
      </c>
      <c r="G279" s="362">
        <v>36.9</v>
      </c>
      <c r="H279" s="362">
        <v>64.95</v>
      </c>
      <c r="I279" s="361" t="s">
        <v>1050</v>
      </c>
      <c r="J279" s="363">
        <v>3.1E-2</v>
      </c>
      <c r="K279" s="364">
        <v>140</v>
      </c>
      <c r="L279" s="364">
        <v>4.6700000000000008</v>
      </c>
      <c r="M279" s="365" t="s">
        <v>1023</v>
      </c>
      <c r="N279" s="364">
        <v>1.2E-2</v>
      </c>
      <c r="O279" s="364">
        <v>35</v>
      </c>
      <c r="P279" s="365">
        <v>1.1200000000000001</v>
      </c>
      <c r="Q279" s="365" t="s">
        <v>1051</v>
      </c>
      <c r="R279" s="364">
        <v>2.2000000000000001E-3</v>
      </c>
    </row>
    <row r="280" spans="1:18" s="265" customFormat="1" ht="12.75">
      <c r="A280" s="358" t="s">
        <v>965</v>
      </c>
      <c r="B280" s="358" t="s">
        <v>966</v>
      </c>
      <c r="C280" s="357" t="s">
        <v>60</v>
      </c>
      <c r="D280" s="359"/>
      <c r="E280" s="360"/>
      <c r="F280" s="361">
        <v>10</v>
      </c>
      <c r="G280" s="362">
        <v>56.79</v>
      </c>
      <c r="H280" s="362">
        <v>99.95</v>
      </c>
      <c r="I280" s="361" t="s">
        <v>1052</v>
      </c>
      <c r="J280" s="363">
        <v>4.3999999999999997E-2</v>
      </c>
      <c r="K280" s="364">
        <v>140</v>
      </c>
      <c r="L280" s="364">
        <v>6.3500000000000005</v>
      </c>
      <c r="M280" s="365" t="s">
        <v>1023</v>
      </c>
      <c r="N280" s="364">
        <v>1.2E-2</v>
      </c>
      <c r="O280" s="364">
        <v>35</v>
      </c>
      <c r="P280" s="365">
        <v>1.54</v>
      </c>
      <c r="Q280" s="365" t="s">
        <v>1053</v>
      </c>
      <c r="R280" s="364">
        <v>2.2000000000000001E-3</v>
      </c>
    </row>
    <row r="281" spans="1:18" s="265" customFormat="1" ht="12.75">
      <c r="A281" s="358" t="s">
        <v>967</v>
      </c>
      <c r="B281" s="358" t="s">
        <v>968</v>
      </c>
      <c r="C281" s="357" t="s">
        <v>969</v>
      </c>
      <c r="D281" s="359"/>
      <c r="E281" s="360"/>
      <c r="F281" s="361">
        <v>30</v>
      </c>
      <c r="G281" s="362">
        <v>124.97</v>
      </c>
      <c r="H281" s="362">
        <v>219.95</v>
      </c>
      <c r="I281" s="361" t="s">
        <v>1054</v>
      </c>
      <c r="J281" s="363">
        <v>8.4000000000000005E-2</v>
      </c>
      <c r="K281" s="364">
        <v>90</v>
      </c>
      <c r="L281" s="364">
        <v>8.31</v>
      </c>
      <c r="M281" s="365" t="s">
        <v>1021</v>
      </c>
      <c r="N281" s="364">
        <v>1.4E-2</v>
      </c>
      <c r="O281" s="364">
        <v>15</v>
      </c>
      <c r="P281" s="365">
        <v>1.34</v>
      </c>
      <c r="Q281" s="365" t="s">
        <v>1055</v>
      </c>
      <c r="R281" s="364">
        <v>2E-3</v>
      </c>
    </row>
    <row r="282" spans="1:18" s="265" customFormat="1" ht="12.75">
      <c r="A282" s="217" t="s">
        <v>970</v>
      </c>
      <c r="B282" s="217" t="s">
        <v>971</v>
      </c>
      <c r="C282" s="266" t="s">
        <v>409</v>
      </c>
      <c r="D282" s="189"/>
      <c r="E282" s="190"/>
      <c r="F282" s="323">
        <v>5</v>
      </c>
      <c r="G282" s="341">
        <v>11.34</v>
      </c>
      <c r="H282" s="341">
        <v>19.95</v>
      </c>
      <c r="I282" s="323" t="s">
        <v>1050</v>
      </c>
      <c r="J282" s="327">
        <v>3.1E-2</v>
      </c>
      <c r="K282" s="267">
        <v>140</v>
      </c>
      <c r="L282" s="267">
        <v>4.6700000000000008</v>
      </c>
      <c r="M282" s="268" t="s">
        <v>1023</v>
      </c>
      <c r="N282" s="267">
        <v>1.2E-2</v>
      </c>
      <c r="O282" s="269">
        <v>35</v>
      </c>
      <c r="P282" s="270">
        <v>1.1200000000000001</v>
      </c>
      <c r="Q282" s="270" t="s">
        <v>1051</v>
      </c>
      <c r="R282" s="269">
        <v>2.2000000000000001E-3</v>
      </c>
    </row>
    <row r="283" spans="1:18" s="265" customFormat="1" ht="12.75">
      <c r="A283" s="217" t="s">
        <v>972</v>
      </c>
      <c r="B283" s="217" t="s">
        <v>973</v>
      </c>
      <c r="C283" s="266" t="s">
        <v>61</v>
      </c>
      <c r="D283" s="189"/>
      <c r="E283" s="190"/>
      <c r="F283" s="323">
        <v>10</v>
      </c>
      <c r="G283" s="341">
        <v>17.02</v>
      </c>
      <c r="H283" s="341">
        <v>29.95</v>
      </c>
      <c r="I283" s="323" t="s">
        <v>1052</v>
      </c>
      <c r="J283" s="327">
        <v>4.3999999999999997E-2</v>
      </c>
      <c r="K283" s="267">
        <v>140</v>
      </c>
      <c r="L283" s="267">
        <v>6.3500000000000005</v>
      </c>
      <c r="M283" s="268" t="s">
        <v>1023</v>
      </c>
      <c r="N283" s="267">
        <v>1.2E-2</v>
      </c>
      <c r="O283" s="269">
        <v>35</v>
      </c>
      <c r="P283" s="270">
        <v>1.54</v>
      </c>
      <c r="Q283" s="270" t="s">
        <v>1053</v>
      </c>
      <c r="R283" s="269">
        <v>2.2000000000000001E-3</v>
      </c>
    </row>
    <row r="284" spans="1:18" s="265" customFormat="1" ht="12.75">
      <c r="A284" s="217" t="s">
        <v>974</v>
      </c>
      <c r="B284" s="217" t="s">
        <v>975</v>
      </c>
      <c r="C284" s="266" t="s">
        <v>976</v>
      </c>
      <c r="D284" s="189"/>
      <c r="E284" s="190"/>
      <c r="F284" s="323">
        <v>30</v>
      </c>
      <c r="G284" s="341">
        <v>34.06</v>
      </c>
      <c r="H284" s="341">
        <v>59.95</v>
      </c>
      <c r="I284" s="323" t="s">
        <v>1054</v>
      </c>
      <c r="J284" s="327">
        <v>8.4000000000000005E-2</v>
      </c>
      <c r="K284" s="267">
        <v>90</v>
      </c>
      <c r="L284" s="267">
        <v>8.31</v>
      </c>
      <c r="M284" s="268" t="s">
        <v>1021</v>
      </c>
      <c r="N284" s="267">
        <v>1.4E-2</v>
      </c>
      <c r="O284" s="269">
        <v>15</v>
      </c>
      <c r="P284" s="270">
        <v>1.34</v>
      </c>
      <c r="Q284" s="270" t="s">
        <v>1055</v>
      </c>
      <c r="R284" s="269">
        <v>2E-3</v>
      </c>
    </row>
    <row r="285" spans="1:18" s="265" customFormat="1" ht="14.25">
      <c r="A285" s="273"/>
      <c r="B285" s="241" t="s">
        <v>1066</v>
      </c>
      <c r="C285" s="262"/>
      <c r="D285" s="262"/>
      <c r="E285" s="262"/>
      <c r="F285" s="324"/>
      <c r="G285" s="326"/>
      <c r="H285" s="326"/>
      <c r="I285" s="324"/>
      <c r="J285" s="328"/>
      <c r="K285" s="274"/>
      <c r="L285" s="274"/>
      <c r="M285" s="274"/>
      <c r="N285" s="274"/>
      <c r="O285" s="274"/>
      <c r="P285" s="274"/>
      <c r="Q285" s="274"/>
      <c r="R285" s="274"/>
    </row>
    <row r="286" spans="1:18" s="31" customFormat="1" ht="12.75">
      <c r="A286" s="379" t="s">
        <v>977</v>
      </c>
      <c r="B286" s="38" t="s">
        <v>413</v>
      </c>
      <c r="C286" s="95" t="s">
        <v>414</v>
      </c>
      <c r="D286" s="102"/>
      <c r="E286" s="96"/>
      <c r="F286" s="380">
        <v>10</v>
      </c>
      <c r="G286" s="381">
        <v>4.5199999999999996</v>
      </c>
      <c r="H286" s="381">
        <v>7.95</v>
      </c>
      <c r="I286" s="380" t="s">
        <v>1052</v>
      </c>
      <c r="J286" s="382">
        <v>4.3999999999999997E-2</v>
      </c>
      <c r="K286" s="383">
        <v>140</v>
      </c>
      <c r="L286" s="383">
        <v>6.3500000000000005</v>
      </c>
      <c r="M286" s="383" t="s">
        <v>1023</v>
      </c>
      <c r="N286" s="383">
        <v>1.2E-2</v>
      </c>
      <c r="O286" s="383">
        <v>35</v>
      </c>
      <c r="P286" s="383">
        <v>1.54</v>
      </c>
      <c r="Q286" s="383" t="s">
        <v>1053</v>
      </c>
      <c r="R286" s="383">
        <v>2.2000000000000001E-3</v>
      </c>
    </row>
    <row r="287" spans="1:18" s="310" customFormat="1" ht="12.75">
      <c r="A287" s="384" t="s">
        <v>978</v>
      </c>
      <c r="B287" s="28" t="s">
        <v>415</v>
      </c>
      <c r="C287" s="95" t="s">
        <v>416</v>
      </c>
      <c r="D287" s="102"/>
      <c r="E287" s="96"/>
      <c r="F287" s="380">
        <v>30</v>
      </c>
      <c r="G287" s="381">
        <v>8.49</v>
      </c>
      <c r="H287" s="381">
        <v>14.95</v>
      </c>
      <c r="I287" s="380" t="s">
        <v>1054</v>
      </c>
      <c r="J287" s="382">
        <v>8.4000000000000005E-2</v>
      </c>
      <c r="K287" s="385">
        <v>90</v>
      </c>
      <c r="L287" s="385">
        <v>8.31</v>
      </c>
      <c r="M287" s="385" t="s">
        <v>1021</v>
      </c>
      <c r="N287" s="385">
        <v>1.4E-2</v>
      </c>
      <c r="O287" s="385">
        <v>15</v>
      </c>
      <c r="P287" s="385">
        <v>1.34</v>
      </c>
      <c r="Q287" s="385" t="s">
        <v>1055</v>
      </c>
      <c r="R287" s="385">
        <v>2E-3</v>
      </c>
    </row>
    <row r="288" spans="1:18" s="31" customFormat="1" ht="12.75">
      <c r="A288" s="384" t="s">
        <v>979</v>
      </c>
      <c r="B288" s="28" t="s">
        <v>417</v>
      </c>
      <c r="C288" s="95" t="s">
        <v>418</v>
      </c>
      <c r="D288" s="102"/>
      <c r="E288" s="96"/>
      <c r="F288" s="380">
        <v>100</v>
      </c>
      <c r="G288" s="381">
        <v>14.18</v>
      </c>
      <c r="H288" s="381">
        <v>24.95</v>
      </c>
      <c r="I288" s="380" t="s">
        <v>1056</v>
      </c>
      <c r="J288" s="382">
        <v>0.2</v>
      </c>
      <c r="K288" s="385">
        <v>24</v>
      </c>
      <c r="L288" s="385">
        <v>5.2</v>
      </c>
      <c r="M288" s="385" t="s">
        <v>1023</v>
      </c>
      <c r="N288" s="385">
        <v>1.2E-2</v>
      </c>
      <c r="O288" s="385"/>
      <c r="P288" s="385"/>
      <c r="Q288" s="385"/>
      <c r="R288" s="385"/>
    </row>
    <row r="289" spans="1:18" s="31" customFormat="1" ht="12.75">
      <c r="A289" s="384" t="s">
        <v>980</v>
      </c>
      <c r="B289" s="28" t="s">
        <v>419</v>
      </c>
      <c r="C289" s="113" t="s">
        <v>82</v>
      </c>
      <c r="D289" s="114"/>
      <c r="E289" s="115"/>
      <c r="F289" s="386">
        <v>10</v>
      </c>
      <c r="G289" s="387">
        <v>5.65</v>
      </c>
      <c r="H289" s="387">
        <v>9.9499999999999993</v>
      </c>
      <c r="I289" s="386" t="s">
        <v>1052</v>
      </c>
      <c r="J289" s="388">
        <v>4.3999999999999997E-2</v>
      </c>
      <c r="K289" s="389">
        <v>140</v>
      </c>
      <c r="L289" s="389">
        <v>6.3500000000000005</v>
      </c>
      <c r="M289" s="389" t="s">
        <v>1023</v>
      </c>
      <c r="N289" s="389">
        <v>1.2E-2</v>
      </c>
      <c r="O289" s="389">
        <v>35</v>
      </c>
      <c r="P289" s="389">
        <v>1.54</v>
      </c>
      <c r="Q289" s="389" t="s">
        <v>1053</v>
      </c>
      <c r="R289" s="389">
        <v>2.2000000000000001E-3</v>
      </c>
    </row>
    <row r="290" spans="1:18" s="31" customFormat="1" ht="12.75">
      <c r="A290" s="384" t="s">
        <v>981</v>
      </c>
      <c r="B290" s="28" t="s">
        <v>420</v>
      </c>
      <c r="C290" s="113" t="s">
        <v>80</v>
      </c>
      <c r="D290" s="114"/>
      <c r="E290" s="115"/>
      <c r="F290" s="386">
        <v>30</v>
      </c>
      <c r="G290" s="387">
        <v>11.34</v>
      </c>
      <c r="H290" s="387">
        <v>19.95</v>
      </c>
      <c r="I290" s="386" t="s">
        <v>1054</v>
      </c>
      <c r="J290" s="388">
        <v>8.4000000000000005E-2</v>
      </c>
      <c r="K290" s="389">
        <v>90</v>
      </c>
      <c r="L290" s="389">
        <v>8.31</v>
      </c>
      <c r="M290" s="389" t="s">
        <v>1021</v>
      </c>
      <c r="N290" s="389">
        <v>1.4E-2</v>
      </c>
      <c r="O290" s="389">
        <v>15</v>
      </c>
      <c r="P290" s="389">
        <v>1.34</v>
      </c>
      <c r="Q290" s="389" t="s">
        <v>1055</v>
      </c>
      <c r="R290" s="389">
        <v>2E-3</v>
      </c>
    </row>
    <row r="291" spans="1:18" s="31" customFormat="1" ht="12.75">
      <c r="A291" s="384" t="s">
        <v>982</v>
      </c>
      <c r="B291" s="28" t="s">
        <v>421</v>
      </c>
      <c r="C291" s="113" t="s">
        <v>81</v>
      </c>
      <c r="D291" s="114"/>
      <c r="E291" s="115"/>
      <c r="F291" s="386">
        <v>100</v>
      </c>
      <c r="G291" s="387">
        <v>17.02</v>
      </c>
      <c r="H291" s="387">
        <v>29.95</v>
      </c>
      <c r="I291" s="386" t="s">
        <v>1056</v>
      </c>
      <c r="J291" s="388">
        <v>0.2</v>
      </c>
      <c r="K291" s="389">
        <v>24</v>
      </c>
      <c r="L291" s="389">
        <v>5.2</v>
      </c>
      <c r="M291" s="389" t="s">
        <v>1023</v>
      </c>
      <c r="N291" s="389">
        <v>1.2E-2</v>
      </c>
      <c r="O291" s="389"/>
      <c r="P291" s="389"/>
      <c r="Q291" s="389"/>
      <c r="R291" s="389"/>
    </row>
    <row r="292" spans="1:18" s="31" customFormat="1" ht="12.75">
      <c r="A292" s="384" t="s">
        <v>983</v>
      </c>
      <c r="B292" s="28" t="s">
        <v>422</v>
      </c>
      <c r="C292" s="95" t="s">
        <v>423</v>
      </c>
      <c r="D292" s="102"/>
      <c r="E292" s="96"/>
      <c r="F292" s="380">
        <v>100</v>
      </c>
      <c r="G292" s="381">
        <v>8.49</v>
      </c>
      <c r="H292" s="381">
        <v>14.95</v>
      </c>
      <c r="I292" s="380" t="s">
        <v>1056</v>
      </c>
      <c r="J292" s="382">
        <v>0.2</v>
      </c>
      <c r="K292" s="385">
        <v>24</v>
      </c>
      <c r="L292" s="385">
        <v>5.2</v>
      </c>
      <c r="M292" s="385" t="s">
        <v>1023</v>
      </c>
      <c r="N292" s="385">
        <v>1.2E-2</v>
      </c>
      <c r="O292" s="385"/>
      <c r="P292" s="385"/>
      <c r="Q292" s="385"/>
      <c r="R292" s="385"/>
    </row>
    <row r="293" spans="1:18" s="31" customFormat="1" ht="12.75">
      <c r="A293" s="384" t="s">
        <v>984</v>
      </c>
      <c r="B293" s="28" t="s">
        <v>424</v>
      </c>
      <c r="C293" s="113" t="s">
        <v>425</v>
      </c>
      <c r="D293" s="114"/>
      <c r="E293" s="115"/>
      <c r="F293" s="386">
        <v>10</v>
      </c>
      <c r="G293" s="387">
        <v>5.65</v>
      </c>
      <c r="H293" s="387">
        <v>9.9499999999999993</v>
      </c>
      <c r="I293" s="386" t="s">
        <v>1052</v>
      </c>
      <c r="J293" s="388">
        <v>4.3999999999999997E-2</v>
      </c>
      <c r="K293" s="389">
        <v>140</v>
      </c>
      <c r="L293" s="389">
        <v>6.3500000000000005</v>
      </c>
      <c r="M293" s="389" t="s">
        <v>1023</v>
      </c>
      <c r="N293" s="389">
        <v>1.2E-2</v>
      </c>
      <c r="O293" s="389">
        <v>35</v>
      </c>
      <c r="P293" s="389">
        <v>1.54</v>
      </c>
      <c r="Q293" s="389" t="s">
        <v>1053</v>
      </c>
      <c r="R293" s="389">
        <v>2.2000000000000001E-3</v>
      </c>
    </row>
    <row r="294" spans="1:18" s="31" customFormat="1" ht="12.75">
      <c r="A294" s="384" t="s">
        <v>985</v>
      </c>
      <c r="B294" s="28" t="s">
        <v>426</v>
      </c>
      <c r="C294" s="113" t="s">
        <v>427</v>
      </c>
      <c r="D294" s="114"/>
      <c r="E294" s="115"/>
      <c r="F294" s="386">
        <v>30</v>
      </c>
      <c r="G294" s="387">
        <v>11.34</v>
      </c>
      <c r="H294" s="387">
        <v>19.95</v>
      </c>
      <c r="I294" s="386" t="s">
        <v>1054</v>
      </c>
      <c r="J294" s="388">
        <v>8.4000000000000005E-2</v>
      </c>
      <c r="K294" s="389">
        <v>90</v>
      </c>
      <c r="L294" s="389">
        <v>8.31</v>
      </c>
      <c r="M294" s="389" t="s">
        <v>1021</v>
      </c>
      <c r="N294" s="389">
        <v>1.4E-2</v>
      </c>
      <c r="O294" s="389">
        <v>15</v>
      </c>
      <c r="P294" s="389">
        <v>1.34</v>
      </c>
      <c r="Q294" s="389" t="s">
        <v>1055</v>
      </c>
      <c r="R294" s="389">
        <v>2E-3</v>
      </c>
    </row>
    <row r="295" spans="1:18" s="31" customFormat="1" ht="12.75">
      <c r="A295" s="384" t="s">
        <v>986</v>
      </c>
      <c r="B295" s="28" t="s">
        <v>428</v>
      </c>
      <c r="C295" s="113" t="s">
        <v>429</v>
      </c>
      <c r="D295" s="114"/>
      <c r="E295" s="115"/>
      <c r="F295" s="386">
        <v>100</v>
      </c>
      <c r="G295" s="387">
        <v>17.02</v>
      </c>
      <c r="H295" s="387">
        <v>29.95</v>
      </c>
      <c r="I295" s="386" t="s">
        <v>1056</v>
      </c>
      <c r="J295" s="388">
        <v>0.2</v>
      </c>
      <c r="K295" s="389">
        <v>24</v>
      </c>
      <c r="L295" s="389">
        <v>5.2</v>
      </c>
      <c r="M295" s="389" t="s">
        <v>1023</v>
      </c>
      <c r="N295" s="389">
        <v>1.2E-2</v>
      </c>
      <c r="O295" s="389"/>
      <c r="P295" s="389"/>
      <c r="Q295" s="389"/>
      <c r="R295" s="389"/>
    </row>
    <row r="296" spans="1:18" s="31" customFormat="1" ht="12.75">
      <c r="A296" s="384" t="s">
        <v>987</v>
      </c>
      <c r="B296" s="28" t="s">
        <v>430</v>
      </c>
      <c r="C296" s="390" t="s">
        <v>431</v>
      </c>
      <c r="D296" s="391"/>
      <c r="E296" s="392"/>
      <c r="F296" s="393">
        <v>10</v>
      </c>
      <c r="G296" s="394">
        <v>5.65</v>
      </c>
      <c r="H296" s="394">
        <v>9.9499999999999993</v>
      </c>
      <c r="I296" s="393" t="s">
        <v>1052</v>
      </c>
      <c r="J296" s="395">
        <v>4.3999999999999997E-2</v>
      </c>
      <c r="K296" s="385">
        <v>140</v>
      </c>
      <c r="L296" s="385">
        <v>6.3500000000000005</v>
      </c>
      <c r="M296" s="385" t="s">
        <v>1023</v>
      </c>
      <c r="N296" s="385">
        <v>1.2E-2</v>
      </c>
      <c r="O296" s="385">
        <v>35</v>
      </c>
      <c r="P296" s="385">
        <v>1.54</v>
      </c>
      <c r="Q296" s="385" t="s">
        <v>1053</v>
      </c>
      <c r="R296" s="385">
        <v>2.2000000000000001E-3</v>
      </c>
    </row>
    <row r="297" spans="1:18" s="31" customFormat="1" ht="12.75">
      <c r="A297" s="384" t="s">
        <v>988</v>
      </c>
      <c r="B297" s="28" t="s">
        <v>432</v>
      </c>
      <c r="C297" s="95" t="s">
        <v>191</v>
      </c>
      <c r="D297" s="102"/>
      <c r="E297" s="96"/>
      <c r="F297" s="380">
        <v>30</v>
      </c>
      <c r="G297" s="381">
        <v>17.02</v>
      </c>
      <c r="H297" s="381">
        <v>29.95</v>
      </c>
      <c r="I297" s="380" t="s">
        <v>1054</v>
      </c>
      <c r="J297" s="382">
        <v>8.4000000000000005E-2</v>
      </c>
      <c r="K297" s="385">
        <v>90</v>
      </c>
      <c r="L297" s="385">
        <v>8.31</v>
      </c>
      <c r="M297" s="385" t="s">
        <v>1021</v>
      </c>
      <c r="N297" s="385">
        <v>1.4E-2</v>
      </c>
      <c r="O297" s="385">
        <v>15</v>
      </c>
      <c r="P297" s="385">
        <v>1.34</v>
      </c>
      <c r="Q297" s="385" t="s">
        <v>1055</v>
      </c>
      <c r="R297" s="385">
        <v>2E-3</v>
      </c>
    </row>
    <row r="298" spans="1:18" s="31" customFormat="1" ht="12.75">
      <c r="A298" s="396" t="s">
        <v>989</v>
      </c>
      <c r="B298" s="29" t="s">
        <v>433</v>
      </c>
      <c r="C298" s="397" t="s">
        <v>434</v>
      </c>
      <c r="D298" s="398"/>
      <c r="E298" s="399"/>
      <c r="F298" s="400">
        <v>100</v>
      </c>
      <c r="G298" s="401">
        <v>51.11</v>
      </c>
      <c r="H298" s="401">
        <v>89.95</v>
      </c>
      <c r="I298" s="400" t="s">
        <v>1056</v>
      </c>
      <c r="J298" s="402">
        <v>0.2</v>
      </c>
      <c r="K298" s="403">
        <v>24</v>
      </c>
      <c r="L298" s="403">
        <v>5.2</v>
      </c>
      <c r="M298" s="403" t="s">
        <v>1023</v>
      </c>
      <c r="N298" s="403">
        <v>1.2E-2</v>
      </c>
      <c r="O298" s="403"/>
      <c r="P298" s="403"/>
      <c r="Q298" s="403"/>
      <c r="R298" s="403"/>
    </row>
    <row r="299" spans="1:18" s="31" customFormat="1" ht="12.75">
      <c r="A299" s="404" t="s">
        <v>1374</v>
      </c>
      <c r="B299" s="405" t="s">
        <v>1375</v>
      </c>
      <c r="C299" s="406" t="s">
        <v>1376</v>
      </c>
      <c r="D299" s="407"/>
      <c r="E299" s="408"/>
      <c r="F299" s="409">
        <v>100</v>
      </c>
      <c r="G299" s="410">
        <v>8.1</v>
      </c>
      <c r="H299" s="410">
        <v>32.4</v>
      </c>
      <c r="I299" s="409" t="s">
        <v>1056</v>
      </c>
      <c r="J299" s="411">
        <v>0.2</v>
      </c>
      <c r="K299" s="412">
        <v>24</v>
      </c>
      <c r="L299" s="413">
        <v>5.2</v>
      </c>
      <c r="M299" s="412" t="s">
        <v>1023</v>
      </c>
      <c r="N299" s="412">
        <v>1.2E-2</v>
      </c>
      <c r="O299" s="412"/>
      <c r="P299" s="412"/>
      <c r="Q299" s="412"/>
      <c r="R299" s="412"/>
    </row>
    <row r="300" spans="1:18" s="31" customFormat="1" ht="12.75">
      <c r="A300" s="356" t="s">
        <v>1377</v>
      </c>
      <c r="B300" s="414" t="s">
        <v>1378</v>
      </c>
      <c r="C300" s="415" t="s">
        <v>1379</v>
      </c>
      <c r="D300" s="416"/>
      <c r="E300" s="417"/>
      <c r="F300" s="418">
        <v>100</v>
      </c>
      <c r="G300" s="419">
        <v>13.05</v>
      </c>
      <c r="H300" s="419">
        <v>52.2</v>
      </c>
      <c r="I300" s="418" t="s">
        <v>1056</v>
      </c>
      <c r="J300" s="420">
        <v>0.2</v>
      </c>
      <c r="K300" s="421">
        <v>24</v>
      </c>
      <c r="L300" s="422">
        <v>5.2</v>
      </c>
      <c r="M300" s="421" t="s">
        <v>1023</v>
      </c>
      <c r="N300" s="421">
        <v>1.2E-2</v>
      </c>
      <c r="O300" s="421"/>
      <c r="P300" s="421"/>
      <c r="Q300" s="421"/>
      <c r="R300" s="421"/>
    </row>
    <row r="301" spans="1:18" s="31" customFormat="1" ht="12.75">
      <c r="A301" s="356" t="s">
        <v>1380</v>
      </c>
      <c r="B301" s="384" t="s">
        <v>1381</v>
      </c>
      <c r="C301" s="423" t="s">
        <v>1382</v>
      </c>
      <c r="D301" s="424"/>
      <c r="E301" s="425"/>
      <c r="F301" s="426">
        <v>100</v>
      </c>
      <c r="G301" s="427">
        <v>11.9</v>
      </c>
      <c r="H301" s="427">
        <v>47.6</v>
      </c>
      <c r="I301" s="426" t="s">
        <v>1056</v>
      </c>
      <c r="J301" s="428">
        <v>0.2</v>
      </c>
      <c r="K301" s="429">
        <v>24</v>
      </c>
      <c r="L301" s="430">
        <v>5.2</v>
      </c>
      <c r="M301" s="429" t="s">
        <v>1023</v>
      </c>
      <c r="N301" s="429">
        <v>1.2E-2</v>
      </c>
      <c r="O301" s="429"/>
      <c r="P301" s="429"/>
      <c r="Q301" s="429"/>
      <c r="R301" s="429"/>
    </row>
    <row r="302" spans="1:18" s="31" customFormat="1" ht="12.75">
      <c r="A302" s="356" t="s">
        <v>1383</v>
      </c>
      <c r="B302" s="414" t="s">
        <v>1384</v>
      </c>
      <c r="C302" s="415" t="s">
        <v>1385</v>
      </c>
      <c r="D302" s="416"/>
      <c r="E302" s="417"/>
      <c r="F302" s="418">
        <v>100</v>
      </c>
      <c r="G302" s="419">
        <v>10.3</v>
      </c>
      <c r="H302" s="419">
        <v>41.2</v>
      </c>
      <c r="I302" s="418" t="s">
        <v>1056</v>
      </c>
      <c r="J302" s="420">
        <v>0.2</v>
      </c>
      <c r="K302" s="421">
        <v>24</v>
      </c>
      <c r="L302" s="422">
        <v>5.2</v>
      </c>
      <c r="M302" s="421" t="s">
        <v>1023</v>
      </c>
      <c r="N302" s="421">
        <v>1.2E-2</v>
      </c>
      <c r="O302" s="421"/>
      <c r="P302" s="421"/>
      <c r="Q302" s="421"/>
      <c r="R302" s="421"/>
    </row>
    <row r="303" spans="1:18" s="31" customFormat="1" ht="12.75">
      <c r="A303" s="356" t="s">
        <v>1386</v>
      </c>
      <c r="B303" s="384" t="s">
        <v>1387</v>
      </c>
      <c r="C303" s="423" t="s">
        <v>1388</v>
      </c>
      <c r="D303" s="424"/>
      <c r="E303" s="425"/>
      <c r="F303" s="426">
        <v>100</v>
      </c>
      <c r="G303" s="427">
        <v>8.5</v>
      </c>
      <c r="H303" s="427">
        <v>34</v>
      </c>
      <c r="I303" s="426" t="s">
        <v>1056</v>
      </c>
      <c r="J303" s="428">
        <v>0.2</v>
      </c>
      <c r="K303" s="429">
        <v>24</v>
      </c>
      <c r="L303" s="430">
        <v>5.2</v>
      </c>
      <c r="M303" s="429" t="s">
        <v>1023</v>
      </c>
      <c r="N303" s="429">
        <v>1.2E-2</v>
      </c>
      <c r="O303" s="429"/>
      <c r="P303" s="429"/>
      <c r="Q303" s="429"/>
      <c r="R303" s="429"/>
    </row>
    <row r="304" spans="1:18" s="31" customFormat="1" ht="12.75">
      <c r="A304" s="356" t="s">
        <v>1389</v>
      </c>
      <c r="B304" s="414" t="s">
        <v>1390</v>
      </c>
      <c r="C304" s="415" t="s">
        <v>1391</v>
      </c>
      <c r="D304" s="416"/>
      <c r="E304" s="417"/>
      <c r="F304" s="418">
        <v>30</v>
      </c>
      <c r="G304" s="419">
        <v>11</v>
      </c>
      <c r="H304" s="419">
        <v>44</v>
      </c>
      <c r="I304" s="418" t="s">
        <v>1054</v>
      </c>
      <c r="J304" s="420">
        <v>8.4000000000000005E-2</v>
      </c>
      <c r="K304" s="421">
        <v>90</v>
      </c>
      <c r="L304" s="422">
        <v>8.31</v>
      </c>
      <c r="M304" s="421" t="s">
        <v>1021</v>
      </c>
      <c r="N304" s="421">
        <v>1.4E-2</v>
      </c>
      <c r="O304" s="421">
        <v>15</v>
      </c>
      <c r="P304" s="421">
        <v>1.34</v>
      </c>
      <c r="Q304" s="421" t="s">
        <v>1055</v>
      </c>
      <c r="R304" s="421">
        <v>2E-3</v>
      </c>
    </row>
    <row r="305" spans="1:18" s="31" customFormat="1" ht="12.75">
      <c r="A305" s="356" t="s">
        <v>1392</v>
      </c>
      <c r="B305" s="414" t="s">
        <v>1393</v>
      </c>
      <c r="C305" s="415" t="s">
        <v>1394</v>
      </c>
      <c r="D305" s="416"/>
      <c r="E305" s="417"/>
      <c r="F305" s="418">
        <v>100</v>
      </c>
      <c r="G305" s="419">
        <v>24</v>
      </c>
      <c r="H305" s="419">
        <v>96</v>
      </c>
      <c r="I305" s="418" t="s">
        <v>1056</v>
      </c>
      <c r="J305" s="420">
        <v>0.2</v>
      </c>
      <c r="K305" s="421">
        <v>24</v>
      </c>
      <c r="L305" s="422">
        <v>5.2</v>
      </c>
      <c r="M305" s="421" t="s">
        <v>1023</v>
      </c>
      <c r="N305" s="421">
        <v>1.2E-2</v>
      </c>
      <c r="O305" s="421"/>
      <c r="P305" s="421"/>
      <c r="Q305" s="421"/>
      <c r="R305" s="421"/>
    </row>
    <row r="306" spans="1:18" s="31" customFormat="1" ht="12.75">
      <c r="A306" s="356" t="s">
        <v>1395</v>
      </c>
      <c r="B306" s="384" t="s">
        <v>1396</v>
      </c>
      <c r="C306" s="423" t="s">
        <v>1397</v>
      </c>
      <c r="D306" s="424"/>
      <c r="E306" s="425"/>
      <c r="F306" s="426">
        <v>30</v>
      </c>
      <c r="G306" s="427">
        <v>23</v>
      </c>
      <c r="H306" s="427">
        <v>92</v>
      </c>
      <c r="I306" s="426" t="s">
        <v>1054</v>
      </c>
      <c r="J306" s="428">
        <v>8.4000000000000005E-2</v>
      </c>
      <c r="K306" s="429">
        <v>90</v>
      </c>
      <c r="L306" s="430">
        <v>8.31</v>
      </c>
      <c r="M306" s="429" t="s">
        <v>1021</v>
      </c>
      <c r="N306" s="429">
        <v>1.4E-2</v>
      </c>
      <c r="O306" s="429">
        <v>15</v>
      </c>
      <c r="P306" s="429">
        <v>1.34</v>
      </c>
      <c r="Q306" s="429" t="s">
        <v>1055</v>
      </c>
      <c r="R306" s="429">
        <v>2E-3</v>
      </c>
    </row>
    <row r="307" spans="1:18" s="31" customFormat="1" ht="12.75">
      <c r="A307" s="356" t="s">
        <v>1398</v>
      </c>
      <c r="B307" s="384" t="s">
        <v>1399</v>
      </c>
      <c r="C307" s="423" t="s">
        <v>1400</v>
      </c>
      <c r="D307" s="424"/>
      <c r="E307" s="425"/>
      <c r="F307" s="426">
        <v>100</v>
      </c>
      <c r="G307" s="427">
        <v>65</v>
      </c>
      <c r="H307" s="427">
        <v>260</v>
      </c>
      <c r="I307" s="426" t="s">
        <v>1056</v>
      </c>
      <c r="J307" s="428">
        <v>0.2</v>
      </c>
      <c r="K307" s="429">
        <v>24</v>
      </c>
      <c r="L307" s="430">
        <v>5.2</v>
      </c>
      <c r="M307" s="429" t="s">
        <v>1023</v>
      </c>
      <c r="N307" s="429">
        <v>1.2E-2</v>
      </c>
      <c r="O307" s="429"/>
      <c r="P307" s="429"/>
      <c r="Q307" s="429"/>
      <c r="R307" s="429"/>
    </row>
    <row r="308" spans="1:18" s="31" customFormat="1" ht="12.75">
      <c r="A308" s="356" t="s">
        <v>1401</v>
      </c>
      <c r="B308" s="414" t="s">
        <v>1402</v>
      </c>
      <c r="C308" s="415" t="s">
        <v>1403</v>
      </c>
      <c r="D308" s="416"/>
      <c r="E308" s="417"/>
      <c r="F308" s="418">
        <v>30</v>
      </c>
      <c r="G308" s="419">
        <v>8</v>
      </c>
      <c r="H308" s="419">
        <v>32</v>
      </c>
      <c r="I308" s="418" t="s">
        <v>1054</v>
      </c>
      <c r="J308" s="420">
        <v>8.4000000000000005E-2</v>
      </c>
      <c r="K308" s="421">
        <v>90</v>
      </c>
      <c r="L308" s="422">
        <v>8.31</v>
      </c>
      <c r="M308" s="421" t="s">
        <v>1021</v>
      </c>
      <c r="N308" s="421">
        <v>1.4E-2</v>
      </c>
      <c r="O308" s="421">
        <v>15</v>
      </c>
      <c r="P308" s="421">
        <v>1.34</v>
      </c>
      <c r="Q308" s="421" t="s">
        <v>1055</v>
      </c>
      <c r="R308" s="421">
        <v>2E-3</v>
      </c>
    </row>
    <row r="309" spans="1:18" s="31" customFormat="1" ht="12.75">
      <c r="A309" s="431" t="s">
        <v>1404</v>
      </c>
      <c r="B309" s="432" t="s">
        <v>1405</v>
      </c>
      <c r="C309" s="433" t="s">
        <v>1406</v>
      </c>
      <c r="D309" s="434"/>
      <c r="E309" s="435"/>
      <c r="F309" s="436">
        <v>100</v>
      </c>
      <c r="G309" s="437">
        <v>16</v>
      </c>
      <c r="H309" s="437">
        <v>64</v>
      </c>
      <c r="I309" s="436" t="s">
        <v>1056</v>
      </c>
      <c r="J309" s="438">
        <v>0.2</v>
      </c>
      <c r="K309" s="439">
        <v>24</v>
      </c>
      <c r="L309" s="440">
        <v>5.2</v>
      </c>
      <c r="M309" s="439" t="s">
        <v>1023</v>
      </c>
      <c r="N309" s="439">
        <v>1.2E-2</v>
      </c>
      <c r="O309" s="439"/>
      <c r="P309" s="439"/>
      <c r="Q309" s="439"/>
      <c r="R309" s="439"/>
    </row>
    <row r="310" spans="1:18" s="163" customFormat="1" ht="14.25">
      <c r="B310" s="207" t="s">
        <v>1067</v>
      </c>
      <c r="C310" s="279"/>
      <c r="D310" s="279"/>
      <c r="E310" s="279"/>
      <c r="F310" s="280"/>
      <c r="G310" s="281"/>
      <c r="H310" s="281"/>
      <c r="I310" s="281"/>
      <c r="J310" s="282"/>
      <c r="K310" s="282"/>
      <c r="L310" s="283"/>
      <c r="M310" s="282"/>
      <c r="N310" s="282"/>
      <c r="O310" s="282"/>
      <c r="P310" s="282"/>
      <c r="Q310" s="282"/>
      <c r="R310" s="282"/>
    </row>
    <row r="311" spans="1:18" s="234" customFormat="1" ht="12.75">
      <c r="A311" s="212" t="s">
        <v>990</v>
      </c>
      <c r="B311" s="176" t="s">
        <v>436</v>
      </c>
      <c r="C311" s="213" t="s">
        <v>83</v>
      </c>
      <c r="D311" s="178"/>
      <c r="E311" s="179"/>
      <c r="F311" s="284">
        <v>10</v>
      </c>
      <c r="G311" s="182">
        <v>8.49</v>
      </c>
      <c r="H311" s="182">
        <v>14.95</v>
      </c>
      <c r="I311" s="181" t="s">
        <v>1052</v>
      </c>
      <c r="J311" s="215">
        <v>3.5999999999999997E-2</v>
      </c>
      <c r="K311" s="285">
        <v>140</v>
      </c>
      <c r="L311" s="285">
        <v>6.3500000000000005</v>
      </c>
      <c r="M311" s="285" t="s">
        <v>1023</v>
      </c>
      <c r="N311" s="285">
        <v>1.2E-2</v>
      </c>
      <c r="O311" s="285">
        <v>35</v>
      </c>
      <c r="P311" s="285">
        <v>1.54</v>
      </c>
      <c r="Q311" s="285" t="s">
        <v>1053</v>
      </c>
      <c r="R311" s="285">
        <v>2.2000000000000001E-3</v>
      </c>
    </row>
    <row r="312" spans="1:18" s="234" customFormat="1" ht="12.75">
      <c r="A312" s="217" t="s">
        <v>991</v>
      </c>
      <c r="B312" s="187" t="s">
        <v>437</v>
      </c>
      <c r="C312" s="218" t="s">
        <v>438</v>
      </c>
      <c r="D312" s="189"/>
      <c r="E312" s="190"/>
      <c r="F312" s="276">
        <v>10</v>
      </c>
      <c r="G312" s="193">
        <v>11.34</v>
      </c>
      <c r="H312" s="193">
        <v>19.95</v>
      </c>
      <c r="I312" s="192" t="s">
        <v>1052</v>
      </c>
      <c r="J312" s="220">
        <v>3.5999999999999997E-2</v>
      </c>
      <c r="K312" s="286">
        <v>140</v>
      </c>
      <c r="L312" s="286">
        <v>6.3500000000000005</v>
      </c>
      <c r="M312" s="286" t="s">
        <v>1023</v>
      </c>
      <c r="N312" s="286">
        <v>1.2E-2</v>
      </c>
      <c r="O312" s="286">
        <v>35</v>
      </c>
      <c r="P312" s="286">
        <v>1.54</v>
      </c>
      <c r="Q312" s="286" t="s">
        <v>1053</v>
      </c>
      <c r="R312" s="286">
        <v>2.2000000000000001E-3</v>
      </c>
    </row>
    <row r="313" spans="1:18" s="234" customFormat="1" ht="12.75">
      <c r="A313" s="217" t="s">
        <v>992</v>
      </c>
      <c r="B313" s="187" t="s">
        <v>439</v>
      </c>
      <c r="C313" s="218" t="s">
        <v>440</v>
      </c>
      <c r="D313" s="189"/>
      <c r="E313" s="190"/>
      <c r="F313" s="276">
        <v>10</v>
      </c>
      <c r="G313" s="193">
        <v>14.18</v>
      </c>
      <c r="H313" s="193">
        <v>24.95</v>
      </c>
      <c r="I313" s="192" t="s">
        <v>1052</v>
      </c>
      <c r="J313" s="220">
        <v>3.5999999999999997E-2</v>
      </c>
      <c r="K313" s="286">
        <v>140</v>
      </c>
      <c r="L313" s="286">
        <v>6.3500000000000005</v>
      </c>
      <c r="M313" s="286" t="s">
        <v>1023</v>
      </c>
      <c r="N313" s="286">
        <v>1.2E-2</v>
      </c>
      <c r="O313" s="286">
        <v>35</v>
      </c>
      <c r="P313" s="286">
        <v>1.54</v>
      </c>
      <c r="Q313" s="286" t="s">
        <v>1053</v>
      </c>
      <c r="R313" s="286">
        <v>2.2000000000000001E-3</v>
      </c>
    </row>
    <row r="314" spans="1:18" s="234" customFormat="1" ht="12.75">
      <c r="A314" s="217" t="s">
        <v>993</v>
      </c>
      <c r="B314" s="187" t="s">
        <v>441</v>
      </c>
      <c r="C314" s="218" t="s">
        <v>442</v>
      </c>
      <c r="D314" s="189"/>
      <c r="E314" s="190"/>
      <c r="F314" s="276">
        <v>10</v>
      </c>
      <c r="G314" s="193">
        <v>11.34</v>
      </c>
      <c r="H314" s="193">
        <v>19.95</v>
      </c>
      <c r="I314" s="192" t="s">
        <v>1052</v>
      </c>
      <c r="J314" s="220">
        <v>3.5999999999999997E-2</v>
      </c>
      <c r="K314" s="286">
        <v>140</v>
      </c>
      <c r="L314" s="286">
        <v>6.3500000000000005</v>
      </c>
      <c r="M314" s="286" t="s">
        <v>1023</v>
      </c>
      <c r="N314" s="286">
        <v>1.2E-2</v>
      </c>
      <c r="O314" s="286">
        <v>35</v>
      </c>
      <c r="P314" s="286">
        <v>1.54</v>
      </c>
      <c r="Q314" s="286" t="s">
        <v>1053</v>
      </c>
      <c r="R314" s="286">
        <v>2.2000000000000001E-3</v>
      </c>
    </row>
    <row r="315" spans="1:18" s="234" customFormat="1" ht="12.75">
      <c r="A315" s="222" t="s">
        <v>994</v>
      </c>
      <c r="B315" s="197" t="s">
        <v>443</v>
      </c>
      <c r="C315" s="223" t="s">
        <v>444</v>
      </c>
      <c r="D315" s="199"/>
      <c r="E315" s="200"/>
      <c r="F315" s="278">
        <v>10</v>
      </c>
      <c r="G315" s="203">
        <v>17.02</v>
      </c>
      <c r="H315" s="203">
        <v>29.95</v>
      </c>
      <c r="I315" s="202" t="s">
        <v>1052</v>
      </c>
      <c r="J315" s="225">
        <v>3.5999999999999997E-2</v>
      </c>
      <c r="K315" s="287">
        <v>140</v>
      </c>
      <c r="L315" s="287">
        <v>6.3500000000000005</v>
      </c>
      <c r="M315" s="287" t="s">
        <v>1023</v>
      </c>
      <c r="N315" s="287">
        <v>1.2E-2</v>
      </c>
      <c r="O315" s="287">
        <v>35</v>
      </c>
      <c r="P315" s="287">
        <v>1.54</v>
      </c>
      <c r="Q315" s="287" t="s">
        <v>1053</v>
      </c>
      <c r="R315" s="287">
        <v>2.2000000000000001E-3</v>
      </c>
    </row>
    <row r="316" spans="1:18" s="163" customFormat="1" ht="14.25">
      <c r="B316" s="207" t="s">
        <v>1068</v>
      </c>
      <c r="C316" s="279"/>
      <c r="D316" s="279"/>
      <c r="E316" s="279"/>
      <c r="F316" s="280"/>
      <c r="G316" s="281"/>
      <c r="H316" s="281"/>
      <c r="I316" s="281"/>
      <c r="J316" s="282"/>
      <c r="K316" s="288"/>
      <c r="L316" s="289"/>
      <c r="M316" s="288"/>
      <c r="N316" s="288"/>
      <c r="O316" s="288"/>
      <c r="P316" s="288"/>
      <c r="Q316" s="288"/>
      <c r="R316" s="288"/>
    </row>
    <row r="317" spans="1:18" s="265" customFormat="1" ht="12.75">
      <c r="A317" s="212" t="s">
        <v>995</v>
      </c>
      <c r="B317" s="176" t="s">
        <v>446</v>
      </c>
      <c r="C317" s="369" t="s">
        <v>447</v>
      </c>
      <c r="D317" s="178"/>
      <c r="E317" s="179"/>
      <c r="F317" s="370">
        <v>125</v>
      </c>
      <c r="G317" s="371">
        <v>7.93</v>
      </c>
      <c r="H317" s="371">
        <v>13.95</v>
      </c>
      <c r="I317" s="370" t="s">
        <v>1057</v>
      </c>
      <c r="J317" s="372">
        <v>0.17</v>
      </c>
      <c r="K317" s="373">
        <v>35</v>
      </c>
      <c r="L317" s="373">
        <v>6.8</v>
      </c>
      <c r="M317" s="373" t="s">
        <v>1023</v>
      </c>
      <c r="N317" s="373">
        <v>1.2E-2</v>
      </c>
      <c r="O317" s="373"/>
      <c r="P317" s="373"/>
      <c r="Q317" s="373"/>
      <c r="R317" s="373"/>
    </row>
    <row r="318" spans="1:18" s="265" customFormat="1" ht="12.75">
      <c r="A318" s="217" t="s">
        <v>996</v>
      </c>
      <c r="B318" s="187" t="s">
        <v>448</v>
      </c>
      <c r="C318" s="266" t="s">
        <v>449</v>
      </c>
      <c r="D318" s="189"/>
      <c r="E318" s="190"/>
      <c r="F318" s="323">
        <v>125</v>
      </c>
      <c r="G318" s="325">
        <v>10.199999999999999</v>
      </c>
      <c r="H318" s="325">
        <v>17.95</v>
      </c>
      <c r="I318" s="323" t="s">
        <v>1057</v>
      </c>
      <c r="J318" s="327">
        <v>0.17</v>
      </c>
      <c r="K318" s="277">
        <v>35</v>
      </c>
      <c r="L318" s="277">
        <v>6.8</v>
      </c>
      <c r="M318" s="277" t="s">
        <v>1023</v>
      </c>
      <c r="N318" s="277">
        <v>1.2E-2</v>
      </c>
      <c r="O318" s="277"/>
      <c r="P318" s="277"/>
      <c r="Q318" s="277"/>
      <c r="R318" s="277"/>
    </row>
    <row r="319" spans="1:18" s="265" customFormat="1" ht="12.75">
      <c r="A319" s="217" t="s">
        <v>1365</v>
      </c>
      <c r="B319" s="187" t="s">
        <v>1366</v>
      </c>
      <c r="C319" s="266" t="s">
        <v>1367</v>
      </c>
      <c r="D319" s="189"/>
      <c r="E319" s="190"/>
      <c r="F319" s="323">
        <v>125</v>
      </c>
      <c r="G319" s="325">
        <v>11.34</v>
      </c>
      <c r="H319" s="325">
        <v>19.95</v>
      </c>
      <c r="I319" s="323" t="s">
        <v>1057</v>
      </c>
      <c r="J319" s="327">
        <v>0.17</v>
      </c>
      <c r="K319" s="277">
        <v>35</v>
      </c>
      <c r="L319" s="277">
        <v>6.8</v>
      </c>
      <c r="M319" s="277" t="s">
        <v>1023</v>
      </c>
      <c r="N319" s="277">
        <v>1.2E-2</v>
      </c>
      <c r="O319" s="277"/>
      <c r="P319" s="277"/>
      <c r="Q319" s="277"/>
      <c r="R319" s="277"/>
    </row>
    <row r="320" spans="1:18" s="265" customFormat="1" ht="12.75">
      <c r="A320" s="217" t="s">
        <v>1368</v>
      </c>
      <c r="B320" s="187" t="s">
        <v>1369</v>
      </c>
      <c r="C320" s="266" t="s">
        <v>1370</v>
      </c>
      <c r="D320" s="189"/>
      <c r="E320" s="190"/>
      <c r="F320" s="323">
        <v>125</v>
      </c>
      <c r="G320" s="325">
        <v>10.220000000000001</v>
      </c>
      <c r="H320" s="325">
        <v>17.989999999999998</v>
      </c>
      <c r="I320" s="323" t="s">
        <v>1057</v>
      </c>
      <c r="J320" s="327">
        <v>0.17</v>
      </c>
      <c r="K320" s="277">
        <v>35</v>
      </c>
      <c r="L320" s="277">
        <v>6.8</v>
      </c>
      <c r="M320" s="277" t="s">
        <v>1023</v>
      </c>
      <c r="N320" s="277">
        <v>1.2E-2</v>
      </c>
      <c r="O320" s="277"/>
      <c r="P320" s="277"/>
      <c r="Q320" s="277"/>
      <c r="R320" s="277"/>
    </row>
    <row r="321" spans="1:18" s="265" customFormat="1" ht="12.75">
      <c r="A321" s="222" t="s">
        <v>1371</v>
      </c>
      <c r="B321" s="197" t="s">
        <v>1372</v>
      </c>
      <c r="C321" s="374" t="s">
        <v>1373</v>
      </c>
      <c r="D321" s="199"/>
      <c r="E321" s="200"/>
      <c r="F321" s="375">
        <v>125</v>
      </c>
      <c r="G321" s="376">
        <v>11.34</v>
      </c>
      <c r="H321" s="376">
        <v>19.95</v>
      </c>
      <c r="I321" s="375" t="s">
        <v>1057</v>
      </c>
      <c r="J321" s="377">
        <v>0.17</v>
      </c>
      <c r="K321" s="378">
        <v>35</v>
      </c>
      <c r="L321" s="378">
        <v>6.8</v>
      </c>
      <c r="M321" s="378" t="s">
        <v>1023</v>
      </c>
      <c r="N321" s="378">
        <v>1.2E-2</v>
      </c>
      <c r="O321" s="378"/>
      <c r="P321" s="378"/>
      <c r="Q321" s="378"/>
      <c r="R321" s="378"/>
    </row>
    <row r="322" spans="1:18" s="163" customFormat="1" ht="14.25">
      <c r="B322" s="207" t="s">
        <v>1069</v>
      </c>
      <c r="C322" s="279"/>
      <c r="D322" s="279"/>
      <c r="E322" s="279"/>
      <c r="F322" s="280"/>
      <c r="G322" s="281"/>
      <c r="H322" s="281"/>
      <c r="I322" s="281"/>
      <c r="J322" s="282"/>
      <c r="K322" s="288"/>
      <c r="L322" s="289"/>
      <c r="M322" s="288"/>
      <c r="N322" s="288"/>
      <c r="O322" s="288"/>
      <c r="P322" s="288"/>
      <c r="Q322" s="288"/>
      <c r="R322" s="288"/>
    </row>
    <row r="323" spans="1:18" s="234" customFormat="1" ht="12.75">
      <c r="A323" s="212" t="s">
        <v>997</v>
      </c>
      <c r="B323" s="176" t="s">
        <v>451</v>
      </c>
      <c r="C323" s="213" t="s">
        <v>452</v>
      </c>
      <c r="D323" s="178"/>
      <c r="E323" s="179"/>
      <c r="F323" s="284">
        <v>100</v>
      </c>
      <c r="G323" s="182">
        <v>11.34</v>
      </c>
      <c r="H323" s="182">
        <v>19.95</v>
      </c>
      <c r="I323" s="181" t="s">
        <v>1056</v>
      </c>
      <c r="J323" s="290">
        <v>0.2</v>
      </c>
      <c r="K323" s="285">
        <v>24</v>
      </c>
      <c r="L323" s="285">
        <v>5.2</v>
      </c>
      <c r="M323" s="285" t="s">
        <v>1023</v>
      </c>
      <c r="N323" s="285">
        <v>1.2E-2</v>
      </c>
      <c r="O323" s="292"/>
      <c r="P323" s="292"/>
      <c r="Q323" s="292"/>
      <c r="R323" s="293"/>
    </row>
    <row r="324" spans="1:18" s="234" customFormat="1" ht="12.75">
      <c r="A324" s="217" t="s">
        <v>998</v>
      </c>
      <c r="B324" s="187" t="s">
        <v>453</v>
      </c>
      <c r="C324" s="218" t="s">
        <v>454</v>
      </c>
      <c r="D324" s="189"/>
      <c r="E324" s="190"/>
      <c r="F324" s="276">
        <v>100</v>
      </c>
      <c r="G324" s="193">
        <v>11.34</v>
      </c>
      <c r="H324" s="193">
        <v>19.95</v>
      </c>
      <c r="I324" s="192" t="s">
        <v>1056</v>
      </c>
      <c r="J324" s="291">
        <v>0.2</v>
      </c>
      <c r="K324" s="286">
        <v>24</v>
      </c>
      <c r="L324" s="286">
        <v>5.2</v>
      </c>
      <c r="M324" s="286" t="s">
        <v>1023</v>
      </c>
      <c r="N324" s="286">
        <v>1.2E-2</v>
      </c>
      <c r="O324" s="270"/>
      <c r="P324" s="270"/>
      <c r="Q324" s="270"/>
      <c r="R324" s="269"/>
    </row>
    <row r="325" spans="1:18" s="234" customFormat="1" ht="12.75">
      <c r="A325" s="217" t="s">
        <v>999</v>
      </c>
      <c r="B325" s="187" t="s">
        <v>455</v>
      </c>
      <c r="C325" s="218" t="s">
        <v>456</v>
      </c>
      <c r="D325" s="189"/>
      <c r="E325" s="190"/>
      <c r="F325" s="276">
        <v>100</v>
      </c>
      <c r="G325" s="193">
        <v>11.34</v>
      </c>
      <c r="H325" s="193">
        <v>19.95</v>
      </c>
      <c r="I325" s="192" t="s">
        <v>1056</v>
      </c>
      <c r="J325" s="291">
        <v>0.2</v>
      </c>
      <c r="K325" s="286">
        <v>24</v>
      </c>
      <c r="L325" s="286">
        <v>5.2</v>
      </c>
      <c r="M325" s="286" t="s">
        <v>1023</v>
      </c>
      <c r="N325" s="286">
        <v>1.2E-2</v>
      </c>
      <c r="O325" s="270"/>
      <c r="P325" s="270"/>
      <c r="Q325" s="270"/>
      <c r="R325" s="269"/>
    </row>
    <row r="326" spans="1:18" s="234" customFormat="1" ht="12.75">
      <c r="A326" s="222" t="s">
        <v>1000</v>
      </c>
      <c r="B326" s="197" t="s">
        <v>457</v>
      </c>
      <c r="C326" s="223" t="s">
        <v>458</v>
      </c>
      <c r="D326" s="199"/>
      <c r="E326" s="200"/>
      <c r="F326" s="278">
        <v>100</v>
      </c>
      <c r="G326" s="203">
        <v>11.34</v>
      </c>
      <c r="H326" s="203">
        <v>19.95</v>
      </c>
      <c r="I326" s="202" t="s">
        <v>1056</v>
      </c>
      <c r="J326" s="294">
        <v>0.2</v>
      </c>
      <c r="K326" s="287">
        <v>24</v>
      </c>
      <c r="L326" s="287">
        <v>5.2</v>
      </c>
      <c r="M326" s="287" t="s">
        <v>1023</v>
      </c>
      <c r="N326" s="287">
        <v>1.2E-2</v>
      </c>
      <c r="O326" s="295"/>
      <c r="P326" s="295"/>
      <c r="Q326" s="295"/>
      <c r="R326" s="296"/>
    </row>
    <row r="327" spans="1:18" s="211" customFormat="1" ht="14.25">
      <c r="A327" s="186"/>
      <c r="B327" s="297" t="s">
        <v>1070</v>
      </c>
      <c r="C327" s="298"/>
      <c r="D327" s="298"/>
      <c r="E327" s="298"/>
      <c r="F327" s="280"/>
      <c r="G327" s="299"/>
      <c r="H327" s="299"/>
      <c r="I327" s="299"/>
      <c r="J327" s="282"/>
      <c r="K327" s="300"/>
      <c r="L327" s="300"/>
      <c r="M327" s="300"/>
      <c r="N327" s="300"/>
      <c r="O327" s="300"/>
      <c r="P327" s="300"/>
      <c r="Q327" s="300"/>
      <c r="R327" s="300"/>
    </row>
    <row r="328" spans="1:18" s="211" customFormat="1" ht="12.75">
      <c r="A328" s="212" t="s">
        <v>1001</v>
      </c>
      <c r="B328" s="176" t="s">
        <v>460</v>
      </c>
      <c r="C328" s="213" t="s">
        <v>461</v>
      </c>
      <c r="D328" s="178"/>
      <c r="E328" s="179"/>
      <c r="F328" s="284">
        <v>10</v>
      </c>
      <c r="G328" s="182">
        <v>11.34</v>
      </c>
      <c r="H328" s="182">
        <v>19.95</v>
      </c>
      <c r="I328" s="181" t="s">
        <v>1052</v>
      </c>
      <c r="J328" s="215">
        <v>3.5999999999999997E-2</v>
      </c>
      <c r="K328" s="285">
        <v>140</v>
      </c>
      <c r="L328" s="285">
        <v>6.3500000000000005</v>
      </c>
      <c r="M328" s="285" t="s">
        <v>1023</v>
      </c>
      <c r="N328" s="285">
        <v>1.2E-2</v>
      </c>
      <c r="O328" s="285">
        <v>35</v>
      </c>
      <c r="P328" s="285">
        <v>1.54</v>
      </c>
      <c r="Q328" s="285" t="s">
        <v>1053</v>
      </c>
      <c r="R328" s="285">
        <v>2.2000000000000001E-3</v>
      </c>
    </row>
    <row r="329" spans="1:18" s="186" customFormat="1" ht="12.75">
      <c r="A329" s="217" t="s">
        <v>1002</v>
      </c>
      <c r="B329" s="187" t="s">
        <v>462</v>
      </c>
      <c r="C329" s="218" t="s">
        <v>463</v>
      </c>
      <c r="D329" s="189"/>
      <c r="E329" s="190"/>
      <c r="F329" s="276">
        <v>10</v>
      </c>
      <c r="G329" s="193">
        <v>11.34</v>
      </c>
      <c r="H329" s="193">
        <v>19.95</v>
      </c>
      <c r="I329" s="192" t="s">
        <v>1052</v>
      </c>
      <c r="J329" s="220">
        <v>3.5999999999999997E-2</v>
      </c>
      <c r="K329" s="286">
        <v>140</v>
      </c>
      <c r="L329" s="286">
        <v>6.3500000000000005</v>
      </c>
      <c r="M329" s="286" t="s">
        <v>1023</v>
      </c>
      <c r="N329" s="286">
        <v>1.2E-2</v>
      </c>
      <c r="O329" s="286">
        <v>35</v>
      </c>
      <c r="P329" s="286">
        <v>1.54</v>
      </c>
      <c r="Q329" s="286" t="s">
        <v>1053</v>
      </c>
      <c r="R329" s="286">
        <v>2.2000000000000001E-3</v>
      </c>
    </row>
    <row r="330" spans="1:18" s="186" customFormat="1" ht="12.75">
      <c r="A330" s="217" t="s">
        <v>1003</v>
      </c>
      <c r="B330" s="187" t="s">
        <v>464</v>
      </c>
      <c r="C330" s="218" t="s">
        <v>465</v>
      </c>
      <c r="D330" s="189"/>
      <c r="E330" s="190"/>
      <c r="F330" s="276">
        <v>10</v>
      </c>
      <c r="G330" s="193">
        <v>11.34</v>
      </c>
      <c r="H330" s="193">
        <v>19.95</v>
      </c>
      <c r="I330" s="192" t="s">
        <v>1052</v>
      </c>
      <c r="J330" s="220">
        <v>3.5999999999999997E-2</v>
      </c>
      <c r="K330" s="286">
        <v>140</v>
      </c>
      <c r="L330" s="286">
        <v>6.3500000000000005</v>
      </c>
      <c r="M330" s="286" t="s">
        <v>1023</v>
      </c>
      <c r="N330" s="286">
        <v>1.2E-2</v>
      </c>
      <c r="O330" s="286">
        <v>35</v>
      </c>
      <c r="P330" s="286">
        <v>1.54</v>
      </c>
      <c r="Q330" s="286" t="s">
        <v>1053</v>
      </c>
      <c r="R330" s="286">
        <v>2.2000000000000001E-3</v>
      </c>
    </row>
    <row r="331" spans="1:18" s="211" customFormat="1" ht="12.75">
      <c r="A331" s="217" t="s">
        <v>1004</v>
      </c>
      <c r="B331" s="187" t="s">
        <v>466</v>
      </c>
      <c r="C331" s="218" t="s">
        <v>467</v>
      </c>
      <c r="D331" s="189"/>
      <c r="E331" s="190"/>
      <c r="F331" s="276">
        <v>10</v>
      </c>
      <c r="G331" s="193">
        <v>11.34</v>
      </c>
      <c r="H331" s="193">
        <v>19.95</v>
      </c>
      <c r="I331" s="192" t="s">
        <v>1052</v>
      </c>
      <c r="J331" s="220">
        <v>3.5999999999999997E-2</v>
      </c>
      <c r="K331" s="286">
        <v>140</v>
      </c>
      <c r="L331" s="286">
        <v>6.3500000000000005</v>
      </c>
      <c r="M331" s="286" t="s">
        <v>1023</v>
      </c>
      <c r="N331" s="286">
        <v>1.2E-2</v>
      </c>
      <c r="O331" s="286">
        <v>35</v>
      </c>
      <c r="P331" s="286">
        <v>1.54</v>
      </c>
      <c r="Q331" s="286" t="s">
        <v>1053</v>
      </c>
      <c r="R331" s="286">
        <v>2.2000000000000001E-3</v>
      </c>
    </row>
    <row r="332" spans="1:18" s="211" customFormat="1" ht="12.75">
      <c r="A332" s="222" t="s">
        <v>1005</v>
      </c>
      <c r="B332" s="197" t="s">
        <v>468</v>
      </c>
      <c r="C332" s="223" t="s">
        <v>469</v>
      </c>
      <c r="D332" s="199"/>
      <c r="E332" s="200"/>
      <c r="F332" s="278">
        <v>10</v>
      </c>
      <c r="G332" s="203">
        <v>11.34</v>
      </c>
      <c r="H332" s="203">
        <v>19.95</v>
      </c>
      <c r="I332" s="202" t="s">
        <v>1052</v>
      </c>
      <c r="J332" s="225">
        <v>3.5999999999999997E-2</v>
      </c>
      <c r="K332" s="287">
        <v>140</v>
      </c>
      <c r="L332" s="287">
        <v>6.3500000000000005</v>
      </c>
      <c r="M332" s="287" t="s">
        <v>1023</v>
      </c>
      <c r="N332" s="287">
        <v>1.2E-2</v>
      </c>
      <c r="O332" s="287">
        <v>35</v>
      </c>
      <c r="P332" s="287">
        <v>1.54</v>
      </c>
      <c r="Q332" s="287" t="s">
        <v>1053</v>
      </c>
      <c r="R332" s="287">
        <v>2.2000000000000001E-3</v>
      </c>
    </row>
    <row r="333" spans="1:18" s="15" customFormat="1">
      <c r="A333" s="314"/>
      <c r="B333" s="14" t="s">
        <v>1089</v>
      </c>
      <c r="C333" s="13"/>
      <c r="D333" s="13"/>
      <c r="E333" s="13"/>
      <c r="F333" s="13"/>
      <c r="G333" s="315"/>
      <c r="H333" s="316"/>
      <c r="I333" s="316"/>
      <c r="J333" s="316"/>
      <c r="K333" s="316"/>
      <c r="L333" s="316"/>
      <c r="M333" s="317"/>
      <c r="N333" s="315"/>
      <c r="O333" s="315"/>
      <c r="P333" s="315"/>
      <c r="Q333" s="315"/>
      <c r="R333" s="315"/>
    </row>
    <row r="334" spans="1:18" s="186" customFormat="1" ht="12.75">
      <c r="A334" s="212" t="s">
        <v>1090</v>
      </c>
      <c r="B334" s="176" t="s">
        <v>1091</v>
      </c>
      <c r="C334" s="213" t="s">
        <v>1092</v>
      </c>
      <c r="D334" s="178"/>
      <c r="E334" s="179"/>
      <c r="F334" s="284">
        <v>14</v>
      </c>
      <c r="G334" s="182">
        <v>11.34</v>
      </c>
      <c r="H334" s="182">
        <v>19.95</v>
      </c>
      <c r="I334" s="181" t="s">
        <v>1093</v>
      </c>
      <c r="J334" s="215">
        <v>4.1000000000000002E-2</v>
      </c>
      <c r="K334" s="285">
        <v>176</v>
      </c>
      <c r="L334" s="285">
        <v>7.5</v>
      </c>
      <c r="M334" s="285" t="s">
        <v>1021</v>
      </c>
      <c r="N334" s="285">
        <v>1.4E-2</v>
      </c>
      <c r="O334" s="285"/>
      <c r="P334" s="285"/>
      <c r="Q334" s="285"/>
      <c r="R334" s="285"/>
    </row>
    <row r="335" spans="1:18" s="186" customFormat="1" ht="12.75">
      <c r="A335" s="217" t="s">
        <v>1094</v>
      </c>
      <c r="B335" s="187" t="s">
        <v>1095</v>
      </c>
      <c r="C335" s="218" t="s">
        <v>1096</v>
      </c>
      <c r="D335" s="189"/>
      <c r="E335" s="190"/>
      <c r="F335" s="276">
        <v>14</v>
      </c>
      <c r="G335" s="193">
        <v>11.34</v>
      </c>
      <c r="H335" s="193">
        <v>19.95</v>
      </c>
      <c r="I335" s="192" t="s">
        <v>1093</v>
      </c>
      <c r="J335" s="220">
        <v>4.1000000000000002E-2</v>
      </c>
      <c r="K335" s="286">
        <v>176</v>
      </c>
      <c r="L335" s="286">
        <v>7.5</v>
      </c>
      <c r="M335" s="286" t="s">
        <v>1021</v>
      </c>
      <c r="N335" s="286">
        <v>1.4E-2</v>
      </c>
      <c r="O335" s="286"/>
      <c r="P335" s="286"/>
      <c r="Q335" s="286"/>
      <c r="R335" s="286"/>
    </row>
    <row r="336" spans="1:18" s="186" customFormat="1" ht="12.75">
      <c r="A336" s="222" t="s">
        <v>1097</v>
      </c>
      <c r="B336" s="197" t="s">
        <v>1098</v>
      </c>
      <c r="C336" s="223" t="s">
        <v>1099</v>
      </c>
      <c r="D336" s="199"/>
      <c r="E336" s="200"/>
      <c r="F336" s="278" t="s">
        <v>1100</v>
      </c>
      <c r="G336" s="203">
        <v>11.34</v>
      </c>
      <c r="H336" s="203">
        <v>19.95</v>
      </c>
      <c r="I336" s="202" t="s">
        <v>1038</v>
      </c>
      <c r="J336" s="225">
        <v>8.3000000000000004E-2</v>
      </c>
      <c r="K336" s="287">
        <v>72</v>
      </c>
      <c r="L336" s="287">
        <v>6.2</v>
      </c>
      <c r="M336" s="287" t="s">
        <v>1023</v>
      </c>
      <c r="N336" s="287">
        <v>1.2E-2</v>
      </c>
      <c r="O336" s="287"/>
      <c r="P336" s="287"/>
      <c r="Q336" s="287"/>
      <c r="R336" s="287"/>
    </row>
    <row r="337" spans="1:18" s="2" customFormat="1">
      <c r="A337" s="14"/>
      <c r="B337" s="14" t="s">
        <v>470</v>
      </c>
      <c r="C337" s="16"/>
      <c r="D337" s="16"/>
      <c r="E337" s="22"/>
      <c r="F337" s="23"/>
      <c r="G337" s="320"/>
      <c r="H337" s="321"/>
      <c r="I337" s="319"/>
    </row>
    <row r="338" spans="1:18" s="31" customFormat="1" ht="12.75">
      <c r="A338" s="343"/>
      <c r="B338" s="344" t="s">
        <v>1292</v>
      </c>
      <c r="C338" s="356" t="s">
        <v>1291</v>
      </c>
      <c r="D338" s="343"/>
      <c r="E338" s="343"/>
      <c r="F338" s="345" t="s">
        <v>1293</v>
      </c>
      <c r="G338" s="346">
        <v>394.36</v>
      </c>
      <c r="H338" s="346"/>
      <c r="I338" s="345" t="s">
        <v>1294</v>
      </c>
      <c r="J338" s="345">
        <v>0.04</v>
      </c>
      <c r="K338" s="347" t="s">
        <v>1296</v>
      </c>
      <c r="L338" s="348">
        <v>3</v>
      </c>
      <c r="M338" s="347" t="s">
        <v>1295</v>
      </c>
      <c r="N338" s="347">
        <v>1.7999999999999999E-2</v>
      </c>
      <c r="O338" s="347"/>
      <c r="P338" s="347"/>
      <c r="Q338" s="347"/>
      <c r="R338" s="347"/>
    </row>
    <row r="339" spans="1:18" s="15" customFormat="1" ht="15.75">
      <c r="A339" s="351"/>
      <c r="B339" s="63" t="s">
        <v>1301</v>
      </c>
      <c r="C339" s="119"/>
      <c r="D339" s="199"/>
      <c r="E339" s="200"/>
      <c r="F339" s="335"/>
      <c r="G339" s="352"/>
      <c r="H339" s="353"/>
      <c r="I339" s="353"/>
      <c r="J339" s="353"/>
      <c r="K339" s="353"/>
      <c r="L339" s="353"/>
      <c r="M339" s="354"/>
      <c r="N339" s="352"/>
      <c r="O339" s="352"/>
      <c r="P339" s="352"/>
      <c r="Q339" s="352"/>
      <c r="R339" s="352"/>
    </row>
    <row r="340" spans="1:18" s="211" customFormat="1" ht="12.75">
      <c r="A340" s="275"/>
      <c r="B340" s="38" t="s">
        <v>1282</v>
      </c>
      <c r="C340" s="118" t="s">
        <v>1285</v>
      </c>
      <c r="D340" s="189"/>
      <c r="E340" s="190"/>
      <c r="F340" s="219">
        <v>3</v>
      </c>
      <c r="G340" s="338"/>
      <c r="H340" s="338"/>
      <c r="I340" s="349" t="s">
        <v>1288</v>
      </c>
      <c r="J340" s="339">
        <v>4.0000000000000001E-3</v>
      </c>
      <c r="K340" s="339">
        <v>800</v>
      </c>
      <c r="L340" s="340">
        <v>4</v>
      </c>
      <c r="M340" s="339" t="s">
        <v>1025</v>
      </c>
      <c r="N340" s="339">
        <v>1.6E-2</v>
      </c>
      <c r="O340" s="339">
        <v>200</v>
      </c>
      <c r="P340" s="340">
        <v>0.9</v>
      </c>
      <c r="Q340" s="350" t="s">
        <v>1053</v>
      </c>
      <c r="R340" s="350">
        <v>2.2000000000000001E-3</v>
      </c>
    </row>
    <row r="341" spans="1:18" s="211" customFormat="1" ht="12.75">
      <c r="A341" s="217"/>
      <c r="B341" s="28" t="s">
        <v>1283</v>
      </c>
      <c r="C341" s="118" t="s">
        <v>1300</v>
      </c>
      <c r="D341" s="189"/>
      <c r="E341" s="190"/>
      <c r="F341" s="355" t="s">
        <v>1299</v>
      </c>
      <c r="G341" s="193"/>
      <c r="H341" s="193"/>
      <c r="I341" s="25" t="s">
        <v>1288</v>
      </c>
      <c r="J341" s="220">
        <v>4.0000000000000001E-3</v>
      </c>
      <c r="K341" s="220">
        <v>800</v>
      </c>
      <c r="L341" s="221">
        <v>4</v>
      </c>
      <c r="M341" s="215" t="s">
        <v>1025</v>
      </c>
      <c r="N341" s="220">
        <v>1.6E-2</v>
      </c>
      <c r="O341" s="220">
        <v>200</v>
      </c>
      <c r="P341" s="221">
        <v>0.9</v>
      </c>
      <c r="Q341" s="285" t="s">
        <v>1053</v>
      </c>
      <c r="R341" s="285">
        <v>2.2000000000000001E-3</v>
      </c>
    </row>
    <row r="342" spans="1:18" s="211" customFormat="1" ht="12.75">
      <c r="B342" s="28" t="s">
        <v>1284</v>
      </c>
      <c r="C342" s="118" t="s">
        <v>1286</v>
      </c>
      <c r="D342" s="189"/>
      <c r="E342" s="190"/>
      <c r="F342" s="219" t="s">
        <v>1287</v>
      </c>
      <c r="G342" s="193"/>
      <c r="H342" s="193"/>
      <c r="I342" s="25" t="s">
        <v>1288</v>
      </c>
      <c r="J342" s="220">
        <v>4.0000000000000001E-3</v>
      </c>
      <c r="K342" s="220">
        <v>800</v>
      </c>
      <c r="L342" s="221">
        <v>4</v>
      </c>
      <c r="M342" s="215" t="s">
        <v>1025</v>
      </c>
      <c r="N342" s="220">
        <v>1.6E-2</v>
      </c>
      <c r="O342" s="220">
        <v>200</v>
      </c>
      <c r="P342" s="221">
        <v>0.9</v>
      </c>
      <c r="Q342" s="285" t="s">
        <v>1053</v>
      </c>
      <c r="R342" s="285">
        <v>2.2000000000000001E-3</v>
      </c>
    </row>
    <row r="343" spans="1:18" s="211" customFormat="1" ht="12.75">
      <c r="A343" s="217"/>
      <c r="B343" s="28"/>
      <c r="C343" s="118"/>
      <c r="D343" s="189"/>
      <c r="E343" s="190"/>
      <c r="F343" s="219"/>
      <c r="G343" s="193"/>
      <c r="H343" s="193"/>
      <c r="I343" s="193"/>
      <c r="J343" s="220"/>
      <c r="K343" s="220"/>
      <c r="L343" s="221"/>
      <c r="M343" s="220"/>
      <c r="N343" s="220"/>
      <c r="O343" s="220"/>
      <c r="P343" s="220"/>
      <c r="Q343" s="220"/>
      <c r="R343" s="220"/>
    </row>
    <row r="344" spans="1:18" s="211" customFormat="1" ht="12.75">
      <c r="A344" s="217"/>
      <c r="B344" s="28" t="s">
        <v>1258</v>
      </c>
      <c r="C344" s="118" t="s">
        <v>1298</v>
      </c>
      <c r="D344" s="114"/>
      <c r="E344" s="115"/>
      <c r="F344" s="355" t="s">
        <v>1100</v>
      </c>
      <c r="G344" s="193"/>
      <c r="H344" s="193"/>
      <c r="I344" s="25" t="s">
        <v>1289</v>
      </c>
      <c r="J344" s="220">
        <v>0.02</v>
      </c>
      <c r="K344" s="220">
        <v>280</v>
      </c>
      <c r="L344" s="221">
        <v>6.6</v>
      </c>
      <c r="M344" s="339" t="s">
        <v>1025</v>
      </c>
      <c r="N344" s="220">
        <v>1.6E-2</v>
      </c>
      <c r="O344" s="220">
        <v>70</v>
      </c>
      <c r="P344" s="220">
        <v>1.65</v>
      </c>
      <c r="Q344" s="285" t="s">
        <v>1053</v>
      </c>
      <c r="R344" s="285">
        <v>2.2000000000000001E-3</v>
      </c>
    </row>
    <row r="345" spans="1:18" s="186" customFormat="1" ht="12.75">
      <c r="A345" s="217"/>
      <c r="B345" s="187"/>
      <c r="C345" s="218"/>
      <c r="D345" s="189"/>
      <c r="E345" s="190"/>
      <c r="F345" s="219"/>
      <c r="G345" s="193"/>
      <c r="H345" s="193"/>
      <c r="I345" s="192"/>
      <c r="J345" s="220"/>
      <c r="K345" s="286"/>
      <c r="L345" s="286"/>
      <c r="M345" s="286"/>
      <c r="N345" s="286"/>
      <c r="O345" s="286"/>
      <c r="P345" s="286"/>
      <c r="Q345" s="286"/>
      <c r="R345" s="286"/>
    </row>
    <row r="346" spans="1:18" s="186" customFormat="1" ht="12.75">
      <c r="A346" s="217"/>
      <c r="B346" s="187" t="s">
        <v>1259</v>
      </c>
      <c r="C346" s="218" t="s">
        <v>1185</v>
      </c>
      <c r="D346" s="189"/>
      <c r="E346" s="190"/>
      <c r="F346" s="276">
        <v>10</v>
      </c>
      <c r="G346" s="193"/>
      <c r="H346" s="193"/>
      <c r="I346" s="135" t="s">
        <v>1290</v>
      </c>
      <c r="J346" s="220">
        <v>1.2E-2</v>
      </c>
      <c r="K346" s="286">
        <v>400</v>
      </c>
      <c r="L346" s="286">
        <v>5</v>
      </c>
      <c r="M346" s="339" t="s">
        <v>1025</v>
      </c>
      <c r="N346" s="286">
        <v>1.6E-2</v>
      </c>
      <c r="O346" s="286">
        <v>100</v>
      </c>
      <c r="P346" s="286">
        <v>1.2</v>
      </c>
      <c r="Q346" s="285" t="s">
        <v>1053</v>
      </c>
      <c r="R346" s="285">
        <v>2.2000000000000001E-3</v>
      </c>
    </row>
    <row r="347" spans="1:18" s="186" customFormat="1" ht="12.75">
      <c r="A347" s="217"/>
      <c r="B347" s="187" t="s">
        <v>1260</v>
      </c>
      <c r="C347" s="218" t="s">
        <v>1186</v>
      </c>
      <c r="D347" s="189"/>
      <c r="E347" s="190"/>
      <c r="F347" s="276">
        <v>10</v>
      </c>
      <c r="G347" s="193"/>
      <c r="H347" s="193"/>
      <c r="I347" s="135" t="s">
        <v>1290</v>
      </c>
      <c r="J347" s="220">
        <v>1.2E-2</v>
      </c>
      <c r="K347" s="286">
        <v>400</v>
      </c>
      <c r="L347" s="286">
        <v>5</v>
      </c>
      <c r="M347" s="339" t="s">
        <v>1025</v>
      </c>
      <c r="N347" s="286">
        <v>1.6E-2</v>
      </c>
      <c r="O347" s="286">
        <v>100</v>
      </c>
      <c r="P347" s="286">
        <v>1.2</v>
      </c>
      <c r="Q347" s="285" t="s">
        <v>1053</v>
      </c>
      <c r="R347" s="285">
        <v>2.2000000000000001E-3</v>
      </c>
    </row>
    <row r="348" spans="1:18" s="186" customFormat="1" ht="12.75">
      <c r="A348" s="217"/>
      <c r="B348" s="187" t="s">
        <v>1261</v>
      </c>
      <c r="C348" s="218" t="s">
        <v>1187</v>
      </c>
      <c r="D348" s="189"/>
      <c r="E348" s="190"/>
      <c r="F348" s="276">
        <v>10</v>
      </c>
      <c r="G348" s="193"/>
      <c r="H348" s="193"/>
      <c r="I348" s="135" t="s">
        <v>1290</v>
      </c>
      <c r="J348" s="220">
        <v>1.2E-2</v>
      </c>
      <c r="K348" s="286">
        <v>400</v>
      </c>
      <c r="L348" s="286">
        <v>5</v>
      </c>
      <c r="M348" s="339" t="s">
        <v>1025</v>
      </c>
      <c r="N348" s="286">
        <v>1.6E-2</v>
      </c>
      <c r="O348" s="286">
        <v>100</v>
      </c>
      <c r="P348" s="286">
        <v>1.2</v>
      </c>
      <c r="Q348" s="285" t="s">
        <v>1053</v>
      </c>
      <c r="R348" s="285">
        <v>2.2000000000000001E-3</v>
      </c>
    </row>
    <row r="349" spans="1:18" s="186" customFormat="1" ht="12.75">
      <c r="A349" s="217"/>
      <c r="B349" s="187"/>
      <c r="C349" s="218"/>
      <c r="D349" s="189"/>
      <c r="E349" s="190"/>
      <c r="F349" s="276"/>
      <c r="G349" s="193"/>
      <c r="H349" s="193"/>
      <c r="I349" s="192"/>
      <c r="J349" s="220"/>
      <c r="K349" s="286"/>
      <c r="L349" s="286"/>
      <c r="M349" s="286"/>
      <c r="N349" s="286"/>
      <c r="O349" s="286"/>
      <c r="P349" s="286"/>
      <c r="Q349" s="286"/>
      <c r="R349" s="286"/>
    </row>
    <row r="350" spans="1:18" s="186" customFormat="1" ht="12.75">
      <c r="A350" s="217"/>
      <c r="B350" s="187" t="s">
        <v>1262</v>
      </c>
      <c r="C350" s="218" t="s">
        <v>1188</v>
      </c>
      <c r="D350" s="189"/>
      <c r="E350" s="190"/>
      <c r="F350" s="276">
        <v>10</v>
      </c>
      <c r="G350" s="193"/>
      <c r="H350" s="193"/>
      <c r="I350" s="135" t="s">
        <v>1290</v>
      </c>
      <c r="J350" s="220">
        <v>1.2E-2</v>
      </c>
      <c r="K350" s="286">
        <v>400</v>
      </c>
      <c r="L350" s="286">
        <v>5</v>
      </c>
      <c r="M350" s="339" t="s">
        <v>1025</v>
      </c>
      <c r="N350" s="286">
        <v>1.6E-2</v>
      </c>
      <c r="O350" s="286">
        <v>100</v>
      </c>
      <c r="P350" s="286">
        <v>1.2</v>
      </c>
      <c r="Q350" s="285" t="s">
        <v>1053</v>
      </c>
      <c r="R350" s="285">
        <v>2.2000000000000001E-3</v>
      </c>
    </row>
    <row r="351" spans="1:18" s="186" customFormat="1" ht="12.75">
      <c r="A351" s="217"/>
      <c r="B351" s="187" t="s">
        <v>1263</v>
      </c>
      <c r="C351" s="218" t="s">
        <v>1189</v>
      </c>
      <c r="D351" s="189"/>
      <c r="E351" s="190"/>
      <c r="F351" s="276">
        <v>10</v>
      </c>
      <c r="G351" s="193"/>
      <c r="H351" s="193"/>
      <c r="I351" s="135" t="s">
        <v>1290</v>
      </c>
      <c r="J351" s="220">
        <v>1.2E-2</v>
      </c>
      <c r="K351" s="286">
        <v>400</v>
      </c>
      <c r="L351" s="286">
        <v>5</v>
      </c>
      <c r="M351" s="339" t="s">
        <v>1025</v>
      </c>
      <c r="N351" s="286">
        <v>1.6E-2</v>
      </c>
      <c r="O351" s="286">
        <v>100</v>
      </c>
      <c r="P351" s="286">
        <v>1.2</v>
      </c>
      <c r="Q351" s="285" t="s">
        <v>1053</v>
      </c>
      <c r="R351" s="285">
        <v>2.2000000000000001E-3</v>
      </c>
    </row>
    <row r="352" spans="1:18" s="186" customFormat="1" ht="12.75">
      <c r="A352" s="217"/>
      <c r="B352" s="187" t="s">
        <v>1264</v>
      </c>
      <c r="C352" s="118" t="s">
        <v>1190</v>
      </c>
      <c r="D352" s="189"/>
      <c r="E352" s="190"/>
      <c r="F352" s="276">
        <v>10</v>
      </c>
      <c r="G352" s="193"/>
      <c r="H352" s="193"/>
      <c r="I352" s="135" t="s">
        <v>1290</v>
      </c>
      <c r="J352" s="220">
        <v>1.2E-2</v>
      </c>
      <c r="K352" s="286">
        <v>400</v>
      </c>
      <c r="L352" s="286">
        <v>5</v>
      </c>
      <c r="M352" s="339" t="s">
        <v>1025</v>
      </c>
      <c r="N352" s="286">
        <v>1.6E-2</v>
      </c>
      <c r="O352" s="286">
        <v>100</v>
      </c>
      <c r="P352" s="286">
        <v>1.2</v>
      </c>
      <c r="Q352" s="285" t="s">
        <v>1053</v>
      </c>
      <c r="R352" s="285">
        <v>2.2000000000000001E-3</v>
      </c>
    </row>
    <row r="353" spans="1:18" s="211" customFormat="1" ht="12.75">
      <c r="A353" s="217"/>
      <c r="B353" s="28" t="s">
        <v>1297</v>
      </c>
      <c r="C353" s="118" t="s">
        <v>1191</v>
      </c>
      <c r="D353" s="189"/>
      <c r="E353" s="190"/>
      <c r="F353" s="276">
        <v>10</v>
      </c>
      <c r="G353" s="193"/>
      <c r="H353" s="193"/>
      <c r="I353" s="135" t="s">
        <v>1290</v>
      </c>
      <c r="J353" s="220">
        <v>1.2E-2</v>
      </c>
      <c r="K353" s="286">
        <v>400</v>
      </c>
      <c r="L353" s="286">
        <v>5</v>
      </c>
      <c r="M353" s="339" t="s">
        <v>1025</v>
      </c>
      <c r="N353" s="286">
        <v>1.6E-2</v>
      </c>
      <c r="O353" s="286">
        <v>100</v>
      </c>
      <c r="P353" s="286">
        <v>1.2</v>
      </c>
      <c r="Q353" s="285" t="s">
        <v>1053</v>
      </c>
      <c r="R353" s="285">
        <v>2.2000000000000001E-3</v>
      </c>
    </row>
    <row r="354" spans="1:18" s="186" customFormat="1" ht="12.75">
      <c r="A354" s="217"/>
      <c r="B354" s="187"/>
      <c r="C354" s="218"/>
      <c r="D354" s="189"/>
      <c r="E354" s="190"/>
      <c r="F354" s="276"/>
      <c r="G354" s="193"/>
      <c r="H354" s="193"/>
      <c r="I354" s="192"/>
      <c r="J354" s="220"/>
      <c r="K354" s="286"/>
      <c r="L354" s="286"/>
      <c r="M354" s="286"/>
      <c r="N354" s="286"/>
      <c r="O354" s="286"/>
      <c r="P354" s="286"/>
      <c r="Q354" s="286"/>
      <c r="R354" s="286"/>
    </row>
    <row r="355" spans="1:18" s="186" customFormat="1" ht="12.75">
      <c r="A355" s="217"/>
      <c r="B355" s="187" t="s">
        <v>1192</v>
      </c>
      <c r="C355" s="118" t="s">
        <v>1114</v>
      </c>
      <c r="D355" s="189"/>
      <c r="E355" s="190"/>
      <c r="F355" s="276">
        <v>2</v>
      </c>
      <c r="G355" s="193"/>
      <c r="H355" s="193"/>
      <c r="I355" s="192" t="s">
        <v>1050</v>
      </c>
      <c r="J355" s="220">
        <v>2.8000000000000001E-2</v>
      </c>
      <c r="K355" s="286">
        <v>192</v>
      </c>
      <c r="L355" s="286">
        <v>6</v>
      </c>
      <c r="M355" s="339" t="s">
        <v>1025</v>
      </c>
      <c r="N355" s="286">
        <v>1.6E-2</v>
      </c>
      <c r="O355" s="286">
        <v>48</v>
      </c>
      <c r="P355" s="286">
        <v>1.4</v>
      </c>
      <c r="Q355" s="286" t="s">
        <v>1051</v>
      </c>
      <c r="R355" s="286">
        <v>1.5E-3</v>
      </c>
    </row>
    <row r="356" spans="1:18" s="186" customFormat="1" ht="12.75">
      <c r="A356" s="217"/>
      <c r="B356" s="187" t="s">
        <v>1193</v>
      </c>
      <c r="C356" s="218" t="s">
        <v>1115</v>
      </c>
      <c r="D356" s="189"/>
      <c r="E356" s="190"/>
      <c r="F356" s="276">
        <v>2</v>
      </c>
      <c r="G356" s="193"/>
      <c r="H356" s="193"/>
      <c r="I356" s="192" t="s">
        <v>1050</v>
      </c>
      <c r="J356" s="220">
        <v>2.8000000000000001E-2</v>
      </c>
      <c r="K356" s="286">
        <v>192</v>
      </c>
      <c r="L356" s="286">
        <v>6</v>
      </c>
      <c r="M356" s="339" t="s">
        <v>1025</v>
      </c>
      <c r="N356" s="286">
        <v>1.6E-2</v>
      </c>
      <c r="O356" s="286">
        <v>48</v>
      </c>
      <c r="P356" s="286">
        <v>1.4</v>
      </c>
      <c r="Q356" s="286" t="s">
        <v>1051</v>
      </c>
      <c r="R356" s="286">
        <v>1.5E-3</v>
      </c>
    </row>
    <row r="357" spans="1:18" s="186" customFormat="1" ht="12.75">
      <c r="A357" s="217"/>
      <c r="B357" s="187" t="s">
        <v>1194</v>
      </c>
      <c r="C357" s="218" t="s">
        <v>1116</v>
      </c>
      <c r="D357" s="189"/>
      <c r="E357" s="190"/>
      <c r="F357" s="276">
        <v>2</v>
      </c>
      <c r="G357" s="193"/>
      <c r="H357" s="193"/>
      <c r="I357" s="192" t="s">
        <v>1050</v>
      </c>
      <c r="J357" s="220">
        <v>2.8000000000000001E-2</v>
      </c>
      <c r="K357" s="286">
        <v>192</v>
      </c>
      <c r="L357" s="286">
        <v>6</v>
      </c>
      <c r="M357" s="339" t="s">
        <v>1025</v>
      </c>
      <c r="N357" s="286">
        <v>1.6E-2</v>
      </c>
      <c r="O357" s="286">
        <v>48</v>
      </c>
      <c r="P357" s="286">
        <v>1.4</v>
      </c>
      <c r="Q357" s="286" t="s">
        <v>1051</v>
      </c>
      <c r="R357" s="286">
        <v>1.5E-3</v>
      </c>
    </row>
    <row r="358" spans="1:18" s="186" customFormat="1" ht="12.75">
      <c r="A358" s="217"/>
      <c r="B358" s="187" t="s">
        <v>1195</v>
      </c>
      <c r="C358" s="218" t="s">
        <v>1117</v>
      </c>
      <c r="D358" s="189"/>
      <c r="E358" s="190"/>
      <c r="F358" s="276">
        <v>2</v>
      </c>
      <c r="G358" s="193"/>
      <c r="H358" s="193"/>
      <c r="I358" s="192" t="s">
        <v>1050</v>
      </c>
      <c r="J358" s="220">
        <v>2.8000000000000001E-2</v>
      </c>
      <c r="K358" s="286">
        <v>192</v>
      </c>
      <c r="L358" s="286">
        <v>6</v>
      </c>
      <c r="M358" s="339" t="s">
        <v>1025</v>
      </c>
      <c r="N358" s="286">
        <v>1.6E-2</v>
      </c>
      <c r="O358" s="286">
        <v>48</v>
      </c>
      <c r="P358" s="286">
        <v>1.4</v>
      </c>
      <c r="Q358" s="286" t="s">
        <v>1051</v>
      </c>
      <c r="R358" s="286">
        <v>1.5E-3</v>
      </c>
    </row>
    <row r="359" spans="1:18" s="186" customFormat="1" ht="12.75">
      <c r="A359" s="217"/>
      <c r="B359" s="187" t="s">
        <v>1196</v>
      </c>
      <c r="C359" s="218" t="s">
        <v>1276</v>
      </c>
      <c r="D359" s="189"/>
      <c r="E359" s="190"/>
      <c r="F359" s="276">
        <v>0.1</v>
      </c>
      <c r="G359" s="193"/>
      <c r="H359" s="193"/>
      <c r="I359" s="192" t="s">
        <v>1050</v>
      </c>
      <c r="J359" s="220">
        <v>2.8000000000000001E-2</v>
      </c>
      <c r="K359" s="286">
        <v>192</v>
      </c>
      <c r="L359" s="286">
        <v>6</v>
      </c>
      <c r="M359" s="339" t="s">
        <v>1025</v>
      </c>
      <c r="N359" s="286">
        <v>1.6E-2</v>
      </c>
      <c r="O359" s="286">
        <v>48</v>
      </c>
      <c r="P359" s="286">
        <v>1.4</v>
      </c>
      <c r="Q359" s="286" t="s">
        <v>1051</v>
      </c>
      <c r="R359" s="286">
        <v>1.5E-3</v>
      </c>
    </row>
    <row r="360" spans="1:18" s="186" customFormat="1" ht="12.75">
      <c r="A360" s="217"/>
      <c r="B360" s="187" t="s">
        <v>1197</v>
      </c>
      <c r="C360" s="218" t="s">
        <v>1277</v>
      </c>
      <c r="D360" s="189"/>
      <c r="E360" s="190"/>
      <c r="F360" s="276">
        <v>0.1</v>
      </c>
      <c r="G360" s="193"/>
      <c r="H360" s="193"/>
      <c r="I360" s="192" t="s">
        <v>1050</v>
      </c>
      <c r="J360" s="220">
        <v>2.8000000000000001E-2</v>
      </c>
      <c r="K360" s="286">
        <v>192</v>
      </c>
      <c r="L360" s="286">
        <v>6</v>
      </c>
      <c r="M360" s="339" t="s">
        <v>1025</v>
      </c>
      <c r="N360" s="286">
        <v>1.6E-2</v>
      </c>
      <c r="O360" s="286">
        <v>48</v>
      </c>
      <c r="P360" s="286">
        <v>1.4</v>
      </c>
      <c r="Q360" s="286" t="s">
        <v>1051</v>
      </c>
      <c r="R360" s="286">
        <v>1.5E-3</v>
      </c>
    </row>
    <row r="361" spans="1:18" s="186" customFormat="1" ht="12.75">
      <c r="A361" s="217"/>
      <c r="B361" s="187" t="s">
        <v>1198</v>
      </c>
      <c r="C361" s="218" t="s">
        <v>1118</v>
      </c>
      <c r="D361" s="189"/>
      <c r="E361" s="190"/>
      <c r="F361" s="276">
        <v>2</v>
      </c>
      <c r="G361" s="193"/>
      <c r="H361" s="193"/>
      <c r="I361" s="192" t="s">
        <v>1050</v>
      </c>
      <c r="J361" s="220">
        <v>2.8000000000000001E-2</v>
      </c>
      <c r="K361" s="286">
        <v>192</v>
      </c>
      <c r="L361" s="286">
        <v>6</v>
      </c>
      <c r="M361" s="339" t="s">
        <v>1025</v>
      </c>
      <c r="N361" s="286">
        <v>1.6E-2</v>
      </c>
      <c r="O361" s="286">
        <v>48</v>
      </c>
      <c r="P361" s="286">
        <v>1.4</v>
      </c>
      <c r="Q361" s="286" t="s">
        <v>1051</v>
      </c>
      <c r="R361" s="286">
        <v>1.5E-3</v>
      </c>
    </row>
    <row r="362" spans="1:18" s="186" customFormat="1" ht="12.75">
      <c r="A362" s="217"/>
      <c r="B362" s="187" t="s">
        <v>1199</v>
      </c>
      <c r="C362" s="218" t="s">
        <v>1119</v>
      </c>
      <c r="D362" s="189"/>
      <c r="E362" s="190"/>
      <c r="F362" s="276">
        <v>2</v>
      </c>
      <c r="G362" s="193"/>
      <c r="H362" s="193"/>
      <c r="I362" s="192" t="s">
        <v>1050</v>
      </c>
      <c r="J362" s="220">
        <v>2.8000000000000001E-2</v>
      </c>
      <c r="K362" s="286">
        <v>192</v>
      </c>
      <c r="L362" s="286">
        <v>6</v>
      </c>
      <c r="M362" s="339" t="s">
        <v>1025</v>
      </c>
      <c r="N362" s="286">
        <v>1.6E-2</v>
      </c>
      <c r="O362" s="286">
        <v>48</v>
      </c>
      <c r="P362" s="286">
        <v>1.4</v>
      </c>
      <c r="Q362" s="286" t="s">
        <v>1051</v>
      </c>
      <c r="R362" s="286">
        <v>1.5E-3</v>
      </c>
    </row>
    <row r="363" spans="1:18" s="186" customFormat="1" ht="12.75">
      <c r="A363" s="217"/>
      <c r="B363" s="187" t="s">
        <v>1200</v>
      </c>
      <c r="C363" s="218" t="s">
        <v>1120</v>
      </c>
      <c r="D363" s="189"/>
      <c r="E363" s="190"/>
      <c r="F363" s="276">
        <v>2</v>
      </c>
      <c r="G363" s="193"/>
      <c r="H363" s="193"/>
      <c r="I363" s="192" t="s">
        <v>1050</v>
      </c>
      <c r="J363" s="220">
        <v>2.8000000000000001E-2</v>
      </c>
      <c r="K363" s="286">
        <v>192</v>
      </c>
      <c r="L363" s="286">
        <v>6</v>
      </c>
      <c r="M363" s="339" t="s">
        <v>1025</v>
      </c>
      <c r="N363" s="286">
        <v>1.6E-2</v>
      </c>
      <c r="O363" s="286">
        <v>48</v>
      </c>
      <c r="P363" s="286">
        <v>1.4</v>
      </c>
      <c r="Q363" s="286" t="s">
        <v>1051</v>
      </c>
      <c r="R363" s="286">
        <v>1.5E-3</v>
      </c>
    </row>
    <row r="364" spans="1:18" s="186" customFormat="1" ht="12.75">
      <c r="A364" s="217"/>
      <c r="B364" s="187" t="s">
        <v>1201</v>
      </c>
      <c r="C364" s="218" t="s">
        <v>1121</v>
      </c>
      <c r="D364" s="189"/>
      <c r="E364" s="190"/>
      <c r="F364" s="276">
        <v>2</v>
      </c>
      <c r="G364" s="193"/>
      <c r="H364" s="193"/>
      <c r="I364" s="192" t="s">
        <v>1050</v>
      </c>
      <c r="J364" s="220">
        <v>2.8000000000000001E-2</v>
      </c>
      <c r="K364" s="286">
        <v>192</v>
      </c>
      <c r="L364" s="286">
        <v>6</v>
      </c>
      <c r="M364" s="339" t="s">
        <v>1025</v>
      </c>
      <c r="N364" s="286">
        <v>1.6E-2</v>
      </c>
      <c r="O364" s="286">
        <v>48</v>
      </c>
      <c r="P364" s="286">
        <v>1.4</v>
      </c>
      <c r="Q364" s="286" t="s">
        <v>1051</v>
      </c>
      <c r="R364" s="286">
        <v>1.5E-3</v>
      </c>
    </row>
    <row r="365" spans="1:18" s="186" customFormat="1" ht="12.75">
      <c r="A365" s="217"/>
      <c r="B365" s="187" t="s">
        <v>1202</v>
      </c>
      <c r="C365" s="218" t="s">
        <v>1122</v>
      </c>
      <c r="D365" s="189"/>
      <c r="E365" s="190"/>
      <c r="F365" s="276">
        <v>2</v>
      </c>
      <c r="G365" s="193"/>
      <c r="H365" s="193"/>
      <c r="I365" s="192" t="s">
        <v>1050</v>
      </c>
      <c r="J365" s="220">
        <v>2.8000000000000001E-2</v>
      </c>
      <c r="K365" s="286">
        <v>192</v>
      </c>
      <c r="L365" s="286">
        <v>6</v>
      </c>
      <c r="M365" s="339" t="s">
        <v>1025</v>
      </c>
      <c r="N365" s="286">
        <v>1.6E-2</v>
      </c>
      <c r="O365" s="286">
        <v>48</v>
      </c>
      <c r="P365" s="286">
        <v>1.4</v>
      </c>
      <c r="Q365" s="286" t="s">
        <v>1051</v>
      </c>
      <c r="R365" s="286">
        <v>1.5E-3</v>
      </c>
    </row>
    <row r="366" spans="1:18" s="186" customFormat="1" ht="12.75">
      <c r="A366" s="217"/>
      <c r="B366" s="187" t="s">
        <v>1203</v>
      </c>
      <c r="C366" s="218" t="s">
        <v>1123</v>
      </c>
      <c r="D366" s="189"/>
      <c r="E366" s="190"/>
      <c r="F366" s="276">
        <v>2</v>
      </c>
      <c r="G366" s="193"/>
      <c r="H366" s="193"/>
      <c r="I366" s="192" t="s">
        <v>1050</v>
      </c>
      <c r="J366" s="220">
        <v>2.8000000000000001E-2</v>
      </c>
      <c r="K366" s="286">
        <v>192</v>
      </c>
      <c r="L366" s="286">
        <v>6</v>
      </c>
      <c r="M366" s="339" t="s">
        <v>1025</v>
      </c>
      <c r="N366" s="286">
        <v>1.6E-2</v>
      </c>
      <c r="O366" s="286">
        <v>48</v>
      </c>
      <c r="P366" s="286">
        <v>1.4</v>
      </c>
      <c r="Q366" s="286" t="s">
        <v>1051</v>
      </c>
      <c r="R366" s="286">
        <v>1.5E-3</v>
      </c>
    </row>
    <row r="367" spans="1:18" s="186" customFormat="1" ht="12.75">
      <c r="A367" s="217"/>
      <c r="B367" s="187" t="s">
        <v>1204</v>
      </c>
      <c r="C367" s="218" t="s">
        <v>1124</v>
      </c>
      <c r="D367" s="189"/>
      <c r="E367" s="190"/>
      <c r="F367" s="276">
        <v>2</v>
      </c>
      <c r="G367" s="193"/>
      <c r="H367" s="193"/>
      <c r="I367" s="192" t="s">
        <v>1050</v>
      </c>
      <c r="J367" s="220">
        <v>2.8000000000000001E-2</v>
      </c>
      <c r="K367" s="286">
        <v>192</v>
      </c>
      <c r="L367" s="286">
        <v>6</v>
      </c>
      <c r="M367" s="339" t="s">
        <v>1025</v>
      </c>
      <c r="N367" s="286">
        <v>1.6E-2</v>
      </c>
      <c r="O367" s="286">
        <v>48</v>
      </c>
      <c r="P367" s="286">
        <v>1.4</v>
      </c>
      <c r="Q367" s="286" t="s">
        <v>1051</v>
      </c>
      <c r="R367" s="286">
        <v>1.5E-3</v>
      </c>
    </row>
    <row r="368" spans="1:18" s="186" customFormat="1" ht="12.75">
      <c r="A368" s="217"/>
      <c r="B368" s="187" t="s">
        <v>1205</v>
      </c>
      <c r="C368" s="218" t="s">
        <v>1125</v>
      </c>
      <c r="D368" s="189"/>
      <c r="E368" s="190"/>
      <c r="F368" s="276">
        <v>2</v>
      </c>
      <c r="G368" s="193"/>
      <c r="H368" s="193"/>
      <c r="I368" s="192" t="s">
        <v>1050</v>
      </c>
      <c r="J368" s="220">
        <v>2.8000000000000001E-2</v>
      </c>
      <c r="K368" s="286">
        <v>192</v>
      </c>
      <c r="L368" s="286">
        <v>6</v>
      </c>
      <c r="M368" s="339" t="s">
        <v>1025</v>
      </c>
      <c r="N368" s="286">
        <v>1.6E-2</v>
      </c>
      <c r="O368" s="286">
        <v>48</v>
      </c>
      <c r="P368" s="286">
        <v>1.4</v>
      </c>
      <c r="Q368" s="286" t="s">
        <v>1051</v>
      </c>
      <c r="R368" s="286">
        <v>1.5E-3</v>
      </c>
    </row>
    <row r="369" spans="1:18" s="186" customFormat="1" ht="12.75">
      <c r="A369" s="217"/>
      <c r="B369" s="187" t="s">
        <v>1206</v>
      </c>
      <c r="C369" s="218" t="s">
        <v>1278</v>
      </c>
      <c r="D369" s="189"/>
      <c r="E369" s="190"/>
      <c r="F369" s="276">
        <v>0.1</v>
      </c>
      <c r="G369" s="193"/>
      <c r="H369" s="193"/>
      <c r="I369" s="192" t="s">
        <v>1050</v>
      </c>
      <c r="J369" s="220">
        <v>2.8000000000000001E-2</v>
      </c>
      <c r="K369" s="286">
        <v>192</v>
      </c>
      <c r="L369" s="286">
        <v>6</v>
      </c>
      <c r="M369" s="339" t="s">
        <v>1025</v>
      </c>
      <c r="N369" s="286">
        <v>1.6E-2</v>
      </c>
      <c r="O369" s="286">
        <v>48</v>
      </c>
      <c r="P369" s="286">
        <v>1.4</v>
      </c>
      <c r="Q369" s="286" t="s">
        <v>1051</v>
      </c>
      <c r="R369" s="286">
        <v>1.5E-3</v>
      </c>
    </row>
    <row r="370" spans="1:18" s="186" customFormat="1" ht="12.75">
      <c r="A370" s="217"/>
      <c r="B370" s="187" t="s">
        <v>1207</v>
      </c>
      <c r="C370" s="218" t="s">
        <v>1126</v>
      </c>
      <c r="D370" s="189"/>
      <c r="E370" s="190"/>
      <c r="F370" s="276">
        <v>2</v>
      </c>
      <c r="G370" s="193"/>
      <c r="H370" s="193"/>
      <c r="I370" s="192" t="s">
        <v>1050</v>
      </c>
      <c r="J370" s="220">
        <v>2.8000000000000001E-2</v>
      </c>
      <c r="K370" s="286">
        <v>192</v>
      </c>
      <c r="L370" s="286">
        <v>6</v>
      </c>
      <c r="M370" s="339" t="s">
        <v>1025</v>
      </c>
      <c r="N370" s="286">
        <v>1.6E-2</v>
      </c>
      <c r="O370" s="286">
        <v>48</v>
      </c>
      <c r="P370" s="286">
        <v>1.4</v>
      </c>
      <c r="Q370" s="286" t="s">
        <v>1051</v>
      </c>
      <c r="R370" s="286">
        <v>1.5E-3</v>
      </c>
    </row>
    <row r="371" spans="1:18" s="186" customFormat="1" ht="12.75">
      <c r="A371" s="217"/>
      <c r="B371" s="187" t="s">
        <v>1208</v>
      </c>
      <c r="C371" s="218" t="s">
        <v>1127</v>
      </c>
      <c r="D371" s="189"/>
      <c r="E371" s="190"/>
      <c r="F371" s="276">
        <v>2</v>
      </c>
      <c r="G371" s="193"/>
      <c r="H371" s="193"/>
      <c r="I371" s="192" t="s">
        <v>1050</v>
      </c>
      <c r="J371" s="220">
        <v>2.8000000000000001E-2</v>
      </c>
      <c r="K371" s="286">
        <v>192</v>
      </c>
      <c r="L371" s="286">
        <v>6</v>
      </c>
      <c r="M371" s="339" t="s">
        <v>1025</v>
      </c>
      <c r="N371" s="286">
        <v>1.6E-2</v>
      </c>
      <c r="O371" s="286">
        <v>48</v>
      </c>
      <c r="P371" s="286">
        <v>1.4</v>
      </c>
      <c r="Q371" s="286" t="s">
        <v>1051</v>
      </c>
      <c r="R371" s="286">
        <v>1.5E-3</v>
      </c>
    </row>
    <row r="372" spans="1:18" s="186" customFormat="1" ht="12.75">
      <c r="A372" s="217"/>
      <c r="B372" s="187" t="s">
        <v>1209</v>
      </c>
      <c r="C372" s="218" t="s">
        <v>1128</v>
      </c>
      <c r="D372" s="189"/>
      <c r="E372" s="190"/>
      <c r="F372" s="276">
        <v>2</v>
      </c>
      <c r="G372" s="193"/>
      <c r="H372" s="193"/>
      <c r="I372" s="192" t="s">
        <v>1050</v>
      </c>
      <c r="J372" s="220">
        <v>2.8000000000000001E-2</v>
      </c>
      <c r="K372" s="286">
        <v>192</v>
      </c>
      <c r="L372" s="286">
        <v>6</v>
      </c>
      <c r="M372" s="339" t="s">
        <v>1025</v>
      </c>
      <c r="N372" s="286">
        <v>1.6E-2</v>
      </c>
      <c r="O372" s="286">
        <v>48</v>
      </c>
      <c r="P372" s="286">
        <v>1.4</v>
      </c>
      <c r="Q372" s="286" t="s">
        <v>1051</v>
      </c>
      <c r="R372" s="286">
        <v>1.5E-3</v>
      </c>
    </row>
    <row r="373" spans="1:18" s="186" customFormat="1" ht="12.75">
      <c r="A373" s="217"/>
      <c r="B373" s="187" t="s">
        <v>1210</v>
      </c>
      <c r="C373" s="218" t="s">
        <v>1163</v>
      </c>
      <c r="D373" s="189"/>
      <c r="E373" s="190"/>
      <c r="F373" s="276">
        <v>0.1</v>
      </c>
      <c r="G373" s="193"/>
      <c r="H373" s="193"/>
      <c r="I373" s="192" t="s">
        <v>1050</v>
      </c>
      <c r="J373" s="220">
        <v>2.8000000000000001E-2</v>
      </c>
      <c r="K373" s="286">
        <v>192</v>
      </c>
      <c r="L373" s="286">
        <v>6</v>
      </c>
      <c r="M373" s="339" t="s">
        <v>1025</v>
      </c>
      <c r="N373" s="286">
        <v>1.6E-2</v>
      </c>
      <c r="O373" s="286">
        <v>48</v>
      </c>
      <c r="P373" s="286">
        <v>1.4</v>
      </c>
      <c r="Q373" s="286" t="s">
        <v>1051</v>
      </c>
      <c r="R373" s="286">
        <v>1.5E-3</v>
      </c>
    </row>
    <row r="374" spans="1:18" s="186" customFormat="1" ht="12.75">
      <c r="A374" s="217"/>
      <c r="B374" s="187" t="s">
        <v>1211</v>
      </c>
      <c r="C374" s="218" t="s">
        <v>1162</v>
      </c>
      <c r="D374" s="189"/>
      <c r="E374" s="190"/>
      <c r="F374" s="276">
        <v>0.1</v>
      </c>
      <c r="G374" s="193"/>
      <c r="H374" s="193"/>
      <c r="I374" s="192" t="s">
        <v>1050</v>
      </c>
      <c r="J374" s="220">
        <v>2.8000000000000001E-2</v>
      </c>
      <c r="K374" s="286">
        <v>192</v>
      </c>
      <c r="L374" s="286">
        <v>6</v>
      </c>
      <c r="M374" s="339" t="s">
        <v>1025</v>
      </c>
      <c r="N374" s="286">
        <v>1.6E-2</v>
      </c>
      <c r="O374" s="286">
        <v>48</v>
      </c>
      <c r="P374" s="286">
        <v>1.4</v>
      </c>
      <c r="Q374" s="286" t="s">
        <v>1051</v>
      </c>
      <c r="R374" s="286">
        <v>1.5E-3</v>
      </c>
    </row>
    <row r="375" spans="1:18" s="186" customFormat="1" ht="12.75">
      <c r="A375" s="217"/>
      <c r="B375" s="187" t="s">
        <v>1212</v>
      </c>
      <c r="C375" s="218" t="s">
        <v>1129</v>
      </c>
      <c r="D375" s="189"/>
      <c r="E375" s="190"/>
      <c r="F375" s="276">
        <v>2</v>
      </c>
      <c r="G375" s="193"/>
      <c r="H375" s="193"/>
      <c r="I375" s="192" t="s">
        <v>1050</v>
      </c>
      <c r="J375" s="220">
        <v>2.8000000000000001E-2</v>
      </c>
      <c r="K375" s="286">
        <v>192</v>
      </c>
      <c r="L375" s="286">
        <v>6</v>
      </c>
      <c r="M375" s="339" t="s">
        <v>1025</v>
      </c>
      <c r="N375" s="286">
        <v>1.6E-2</v>
      </c>
      <c r="O375" s="286">
        <v>48</v>
      </c>
      <c r="P375" s="286">
        <v>1.4</v>
      </c>
      <c r="Q375" s="286" t="s">
        <v>1051</v>
      </c>
      <c r="R375" s="286">
        <v>1.5E-3</v>
      </c>
    </row>
    <row r="376" spans="1:18" s="186" customFormat="1" ht="12.75">
      <c r="A376" s="217"/>
      <c r="B376" s="187" t="s">
        <v>1213</v>
      </c>
      <c r="C376" s="218" t="s">
        <v>1130</v>
      </c>
      <c r="D376" s="189"/>
      <c r="E376" s="190"/>
      <c r="F376" s="276">
        <v>2</v>
      </c>
      <c r="G376" s="193"/>
      <c r="H376" s="193"/>
      <c r="I376" s="192" t="s">
        <v>1050</v>
      </c>
      <c r="J376" s="220">
        <v>2.8000000000000001E-2</v>
      </c>
      <c r="K376" s="286">
        <v>192</v>
      </c>
      <c r="L376" s="286">
        <v>6</v>
      </c>
      <c r="M376" s="339" t="s">
        <v>1025</v>
      </c>
      <c r="N376" s="286">
        <v>1.6E-2</v>
      </c>
      <c r="O376" s="286">
        <v>48</v>
      </c>
      <c r="P376" s="286">
        <v>1.4</v>
      </c>
      <c r="Q376" s="286" t="s">
        <v>1051</v>
      </c>
      <c r="R376" s="286">
        <v>1.5E-3</v>
      </c>
    </row>
    <row r="377" spans="1:18" s="186" customFormat="1" ht="12.75">
      <c r="A377" s="217"/>
      <c r="B377" s="187" t="s">
        <v>1214</v>
      </c>
      <c r="C377" s="218" t="s">
        <v>1131</v>
      </c>
      <c r="D377" s="189"/>
      <c r="E377" s="190"/>
      <c r="F377" s="276">
        <v>2</v>
      </c>
      <c r="G377" s="193"/>
      <c r="H377" s="193"/>
      <c r="I377" s="192" t="s">
        <v>1050</v>
      </c>
      <c r="J377" s="220">
        <v>2.8000000000000001E-2</v>
      </c>
      <c r="K377" s="286">
        <v>192</v>
      </c>
      <c r="L377" s="286">
        <v>6</v>
      </c>
      <c r="M377" s="339" t="s">
        <v>1025</v>
      </c>
      <c r="N377" s="286">
        <v>1.6E-2</v>
      </c>
      <c r="O377" s="286">
        <v>48</v>
      </c>
      <c r="P377" s="286">
        <v>1.4</v>
      </c>
      <c r="Q377" s="286" t="s">
        <v>1051</v>
      </c>
      <c r="R377" s="286">
        <v>1.5E-3</v>
      </c>
    </row>
    <row r="378" spans="1:18" s="186" customFormat="1" ht="12.75">
      <c r="A378" s="217"/>
      <c r="B378" s="187" t="s">
        <v>1215</v>
      </c>
      <c r="C378" s="218" t="s">
        <v>1132</v>
      </c>
      <c r="D378" s="189"/>
      <c r="E378" s="190"/>
      <c r="F378" s="276">
        <v>2</v>
      </c>
      <c r="G378" s="193"/>
      <c r="H378" s="193"/>
      <c r="I378" s="192" t="s">
        <v>1050</v>
      </c>
      <c r="J378" s="220">
        <v>2.8000000000000001E-2</v>
      </c>
      <c r="K378" s="286">
        <v>192</v>
      </c>
      <c r="L378" s="286">
        <v>6</v>
      </c>
      <c r="M378" s="339" t="s">
        <v>1025</v>
      </c>
      <c r="N378" s="286">
        <v>1.6E-2</v>
      </c>
      <c r="O378" s="286">
        <v>48</v>
      </c>
      <c r="P378" s="286">
        <v>1.4</v>
      </c>
      <c r="Q378" s="286" t="s">
        <v>1051</v>
      </c>
      <c r="R378" s="286">
        <v>1.5E-3</v>
      </c>
    </row>
    <row r="379" spans="1:18" s="186" customFormat="1" ht="12.75">
      <c r="A379" s="217"/>
      <c r="B379" s="187" t="s">
        <v>1216</v>
      </c>
      <c r="C379" s="218" t="s">
        <v>1133</v>
      </c>
      <c r="D379" s="189"/>
      <c r="E379" s="190"/>
      <c r="F379" s="276">
        <v>2</v>
      </c>
      <c r="G379" s="193"/>
      <c r="H379" s="193"/>
      <c r="I379" s="192" t="s">
        <v>1050</v>
      </c>
      <c r="J379" s="220">
        <v>2.8000000000000001E-2</v>
      </c>
      <c r="K379" s="286">
        <v>192</v>
      </c>
      <c r="L379" s="286">
        <v>6</v>
      </c>
      <c r="M379" s="339" t="s">
        <v>1025</v>
      </c>
      <c r="N379" s="286">
        <v>1.6E-2</v>
      </c>
      <c r="O379" s="286">
        <v>48</v>
      </c>
      <c r="P379" s="286">
        <v>1.4</v>
      </c>
      <c r="Q379" s="286" t="s">
        <v>1051</v>
      </c>
      <c r="R379" s="286">
        <v>1.5E-3</v>
      </c>
    </row>
    <row r="380" spans="1:18" s="186" customFormat="1" ht="12.75">
      <c r="A380" s="217"/>
      <c r="B380" s="187" t="s">
        <v>1217</v>
      </c>
      <c r="C380" s="218" t="s">
        <v>1134</v>
      </c>
      <c r="D380" s="189"/>
      <c r="E380" s="190"/>
      <c r="F380" s="276">
        <v>2</v>
      </c>
      <c r="G380" s="193"/>
      <c r="H380" s="193"/>
      <c r="I380" s="192" t="s">
        <v>1050</v>
      </c>
      <c r="J380" s="220">
        <v>2.8000000000000001E-2</v>
      </c>
      <c r="K380" s="286">
        <v>192</v>
      </c>
      <c r="L380" s="286">
        <v>6</v>
      </c>
      <c r="M380" s="339" t="s">
        <v>1025</v>
      </c>
      <c r="N380" s="286">
        <v>1.6E-2</v>
      </c>
      <c r="O380" s="286">
        <v>48</v>
      </c>
      <c r="P380" s="286">
        <v>1.4</v>
      </c>
      <c r="Q380" s="286" t="s">
        <v>1051</v>
      </c>
      <c r="R380" s="286">
        <v>1.5E-3</v>
      </c>
    </row>
    <row r="381" spans="1:18" s="186" customFormat="1" ht="12.75">
      <c r="A381" s="217"/>
      <c r="B381" s="187" t="s">
        <v>1218</v>
      </c>
      <c r="C381" s="218" t="s">
        <v>1135</v>
      </c>
      <c r="D381" s="189"/>
      <c r="E381" s="190"/>
      <c r="F381" s="276">
        <v>2</v>
      </c>
      <c r="G381" s="193"/>
      <c r="H381" s="193"/>
      <c r="I381" s="192" t="s">
        <v>1050</v>
      </c>
      <c r="J381" s="220">
        <v>2.8000000000000001E-2</v>
      </c>
      <c r="K381" s="286">
        <v>192</v>
      </c>
      <c r="L381" s="286">
        <v>6</v>
      </c>
      <c r="M381" s="339" t="s">
        <v>1025</v>
      </c>
      <c r="N381" s="286">
        <v>1.6E-2</v>
      </c>
      <c r="O381" s="286">
        <v>48</v>
      </c>
      <c r="P381" s="286">
        <v>1.4</v>
      </c>
      <c r="Q381" s="286" t="s">
        <v>1051</v>
      </c>
      <c r="R381" s="286">
        <v>1.5E-3</v>
      </c>
    </row>
    <row r="382" spans="1:18" s="186" customFormat="1" ht="12.75">
      <c r="A382" s="217"/>
      <c r="B382" s="187" t="s">
        <v>1219</v>
      </c>
      <c r="C382" s="218" t="s">
        <v>1136</v>
      </c>
      <c r="D382" s="189"/>
      <c r="E382" s="190"/>
      <c r="F382" s="276">
        <v>2</v>
      </c>
      <c r="G382" s="193"/>
      <c r="H382" s="193"/>
      <c r="I382" s="192" t="s">
        <v>1050</v>
      </c>
      <c r="J382" s="220">
        <v>2.8000000000000001E-2</v>
      </c>
      <c r="K382" s="286">
        <v>192</v>
      </c>
      <c r="L382" s="286">
        <v>6</v>
      </c>
      <c r="M382" s="339" t="s">
        <v>1025</v>
      </c>
      <c r="N382" s="286">
        <v>1.6E-2</v>
      </c>
      <c r="O382" s="286">
        <v>48</v>
      </c>
      <c r="P382" s="286">
        <v>1.4</v>
      </c>
      <c r="Q382" s="286" t="s">
        <v>1051</v>
      </c>
      <c r="R382" s="286">
        <v>1.5E-3</v>
      </c>
    </row>
    <row r="383" spans="1:18" s="186" customFormat="1" ht="12.75">
      <c r="A383" s="217"/>
      <c r="B383" s="187" t="s">
        <v>1220</v>
      </c>
      <c r="C383" s="218" t="s">
        <v>1137</v>
      </c>
      <c r="D383" s="189"/>
      <c r="E383" s="190"/>
      <c r="F383" s="276">
        <v>2</v>
      </c>
      <c r="G383" s="193"/>
      <c r="H383" s="193"/>
      <c r="I383" s="192" t="s">
        <v>1050</v>
      </c>
      <c r="J383" s="220">
        <v>2.8000000000000001E-2</v>
      </c>
      <c r="K383" s="286">
        <v>192</v>
      </c>
      <c r="L383" s="286">
        <v>6</v>
      </c>
      <c r="M383" s="339" t="s">
        <v>1025</v>
      </c>
      <c r="N383" s="286">
        <v>1.6E-2</v>
      </c>
      <c r="O383" s="286">
        <v>48</v>
      </c>
      <c r="P383" s="286">
        <v>1.4</v>
      </c>
      <c r="Q383" s="286" t="s">
        <v>1051</v>
      </c>
      <c r="R383" s="286">
        <v>1.5E-3</v>
      </c>
    </row>
    <row r="384" spans="1:18" s="186" customFormat="1" ht="12.75">
      <c r="A384" s="217"/>
      <c r="B384" s="187" t="s">
        <v>1221</v>
      </c>
      <c r="C384" s="218" t="s">
        <v>1138</v>
      </c>
      <c r="D384" s="189"/>
      <c r="E384" s="190"/>
      <c r="F384" s="276">
        <v>2</v>
      </c>
      <c r="G384" s="193"/>
      <c r="H384" s="193"/>
      <c r="I384" s="192" t="s">
        <v>1050</v>
      </c>
      <c r="J384" s="220">
        <v>2.8000000000000001E-2</v>
      </c>
      <c r="K384" s="286">
        <v>192</v>
      </c>
      <c r="L384" s="286">
        <v>6</v>
      </c>
      <c r="M384" s="339" t="s">
        <v>1025</v>
      </c>
      <c r="N384" s="286">
        <v>1.6E-2</v>
      </c>
      <c r="O384" s="286">
        <v>48</v>
      </c>
      <c r="P384" s="286">
        <v>1.4</v>
      </c>
      <c r="Q384" s="286" t="s">
        <v>1051</v>
      </c>
      <c r="R384" s="286">
        <v>1.5E-3</v>
      </c>
    </row>
    <row r="385" spans="1:18" s="186" customFormat="1" ht="12.75">
      <c r="A385" s="217"/>
      <c r="B385" s="187" t="s">
        <v>1222</v>
      </c>
      <c r="C385" s="218" t="s">
        <v>1139</v>
      </c>
      <c r="D385" s="189"/>
      <c r="E385" s="190"/>
      <c r="F385" s="276">
        <v>2</v>
      </c>
      <c r="G385" s="193"/>
      <c r="H385" s="193"/>
      <c r="I385" s="192" t="s">
        <v>1050</v>
      </c>
      <c r="J385" s="220">
        <v>2.8000000000000001E-2</v>
      </c>
      <c r="K385" s="286">
        <v>192</v>
      </c>
      <c r="L385" s="286">
        <v>6</v>
      </c>
      <c r="M385" s="339" t="s">
        <v>1025</v>
      </c>
      <c r="N385" s="286">
        <v>1.6E-2</v>
      </c>
      <c r="O385" s="286">
        <v>48</v>
      </c>
      <c r="P385" s="286">
        <v>1.4</v>
      </c>
      <c r="Q385" s="286" t="s">
        <v>1051</v>
      </c>
      <c r="R385" s="286">
        <v>1.5E-3</v>
      </c>
    </row>
    <row r="386" spans="1:18" s="186" customFormat="1" ht="12.75">
      <c r="A386" s="217"/>
      <c r="B386" s="187" t="s">
        <v>1223</v>
      </c>
      <c r="C386" s="218" t="s">
        <v>1140</v>
      </c>
      <c r="D386" s="189"/>
      <c r="E386" s="190"/>
      <c r="F386" s="276">
        <v>2</v>
      </c>
      <c r="G386" s="193"/>
      <c r="H386" s="193"/>
      <c r="I386" s="192" t="s">
        <v>1050</v>
      </c>
      <c r="J386" s="220">
        <v>2.8000000000000001E-2</v>
      </c>
      <c r="K386" s="286">
        <v>192</v>
      </c>
      <c r="L386" s="286">
        <v>6</v>
      </c>
      <c r="M386" s="339" t="s">
        <v>1025</v>
      </c>
      <c r="N386" s="286">
        <v>1.6E-2</v>
      </c>
      <c r="O386" s="286">
        <v>48</v>
      </c>
      <c r="P386" s="286">
        <v>1.4</v>
      </c>
      <c r="Q386" s="286" t="s">
        <v>1051</v>
      </c>
      <c r="R386" s="286">
        <v>1.5E-3</v>
      </c>
    </row>
    <row r="387" spans="1:18" s="186" customFormat="1" ht="12.75">
      <c r="A387" s="217"/>
      <c r="B387" s="187" t="s">
        <v>1224</v>
      </c>
      <c r="C387" s="218" t="s">
        <v>1159</v>
      </c>
      <c r="D387" s="189"/>
      <c r="E387" s="190"/>
      <c r="F387" s="276">
        <v>0.1</v>
      </c>
      <c r="G387" s="193"/>
      <c r="H387" s="193"/>
      <c r="I387" s="192" t="s">
        <v>1050</v>
      </c>
      <c r="J387" s="220">
        <v>2.8000000000000001E-2</v>
      </c>
      <c r="K387" s="286">
        <v>192</v>
      </c>
      <c r="L387" s="286">
        <v>6</v>
      </c>
      <c r="M387" s="339" t="s">
        <v>1025</v>
      </c>
      <c r="N387" s="286">
        <v>1.6E-2</v>
      </c>
      <c r="O387" s="286">
        <v>48</v>
      </c>
      <c r="P387" s="286">
        <v>1.4</v>
      </c>
      <c r="Q387" s="286" t="s">
        <v>1051</v>
      </c>
      <c r="R387" s="286">
        <v>1.5E-3</v>
      </c>
    </row>
    <row r="388" spans="1:18" s="186" customFormat="1" ht="12.75">
      <c r="A388" s="217"/>
      <c r="B388" s="187" t="s">
        <v>1225</v>
      </c>
      <c r="C388" s="218" t="s">
        <v>1141</v>
      </c>
      <c r="D388" s="189"/>
      <c r="E388" s="190"/>
      <c r="F388" s="276">
        <v>2</v>
      </c>
      <c r="G388" s="193"/>
      <c r="H388" s="193"/>
      <c r="I388" s="192" t="s">
        <v>1050</v>
      </c>
      <c r="J388" s="220">
        <v>2.8000000000000001E-2</v>
      </c>
      <c r="K388" s="286">
        <v>192</v>
      </c>
      <c r="L388" s="286">
        <v>6</v>
      </c>
      <c r="M388" s="339" t="s">
        <v>1025</v>
      </c>
      <c r="N388" s="286">
        <v>1.6E-2</v>
      </c>
      <c r="O388" s="286">
        <v>48</v>
      </c>
      <c r="P388" s="286">
        <v>1.4</v>
      </c>
      <c r="Q388" s="286" t="s">
        <v>1051</v>
      </c>
      <c r="R388" s="286">
        <v>1.5E-3</v>
      </c>
    </row>
    <row r="389" spans="1:18" s="186" customFormat="1" ht="12.75">
      <c r="A389" s="217"/>
      <c r="B389" s="187" t="s">
        <v>1226</v>
      </c>
      <c r="C389" s="218" t="s">
        <v>1142</v>
      </c>
      <c r="D389" s="189"/>
      <c r="E389" s="190"/>
      <c r="F389" s="276">
        <v>2</v>
      </c>
      <c r="G389" s="193"/>
      <c r="H389" s="193"/>
      <c r="I389" s="192" t="s">
        <v>1050</v>
      </c>
      <c r="J389" s="220">
        <v>2.8000000000000001E-2</v>
      </c>
      <c r="K389" s="286">
        <v>192</v>
      </c>
      <c r="L389" s="286">
        <v>6</v>
      </c>
      <c r="M389" s="339" t="s">
        <v>1025</v>
      </c>
      <c r="N389" s="286">
        <v>1.6E-2</v>
      </c>
      <c r="O389" s="286">
        <v>48</v>
      </c>
      <c r="P389" s="286">
        <v>1.4</v>
      </c>
      <c r="Q389" s="286" t="s">
        <v>1051</v>
      </c>
      <c r="R389" s="286">
        <v>1.5E-3</v>
      </c>
    </row>
    <row r="390" spans="1:18" s="186" customFormat="1" ht="12.75">
      <c r="A390" s="217"/>
      <c r="B390" s="187" t="s">
        <v>1227</v>
      </c>
      <c r="C390" s="218" t="s">
        <v>1143</v>
      </c>
      <c r="D390" s="189"/>
      <c r="E390" s="190"/>
      <c r="F390" s="276">
        <v>2</v>
      </c>
      <c r="G390" s="193"/>
      <c r="H390" s="193"/>
      <c r="I390" s="192" t="s">
        <v>1050</v>
      </c>
      <c r="J390" s="220">
        <v>2.8000000000000001E-2</v>
      </c>
      <c r="K390" s="286">
        <v>192</v>
      </c>
      <c r="L390" s="286">
        <v>6</v>
      </c>
      <c r="M390" s="339" t="s">
        <v>1025</v>
      </c>
      <c r="N390" s="286">
        <v>1.6E-2</v>
      </c>
      <c r="O390" s="286">
        <v>48</v>
      </c>
      <c r="P390" s="286">
        <v>1.4</v>
      </c>
      <c r="Q390" s="286" t="s">
        <v>1051</v>
      </c>
      <c r="R390" s="286">
        <v>1.5E-3</v>
      </c>
    </row>
    <row r="391" spans="1:18" s="186" customFormat="1" ht="12.75">
      <c r="A391" s="217"/>
      <c r="B391" s="187" t="s">
        <v>1228</v>
      </c>
      <c r="C391" s="218" t="s">
        <v>1144</v>
      </c>
      <c r="D391" s="189"/>
      <c r="E391" s="190"/>
      <c r="F391" s="276">
        <v>2</v>
      </c>
      <c r="G391" s="193"/>
      <c r="H391" s="193"/>
      <c r="I391" s="192" t="s">
        <v>1050</v>
      </c>
      <c r="J391" s="220">
        <v>2.8000000000000001E-2</v>
      </c>
      <c r="K391" s="286">
        <v>192</v>
      </c>
      <c r="L391" s="286">
        <v>6</v>
      </c>
      <c r="M391" s="339" t="s">
        <v>1025</v>
      </c>
      <c r="N391" s="286">
        <v>1.6E-2</v>
      </c>
      <c r="O391" s="286">
        <v>48</v>
      </c>
      <c r="P391" s="286">
        <v>1.4</v>
      </c>
      <c r="Q391" s="286" t="s">
        <v>1051</v>
      </c>
      <c r="R391" s="286">
        <v>1.5E-3</v>
      </c>
    </row>
    <row r="392" spans="1:18" s="186" customFormat="1" ht="12.75">
      <c r="A392" s="217"/>
      <c r="B392" s="187" t="s">
        <v>1229</v>
      </c>
      <c r="C392" s="218" t="s">
        <v>1145</v>
      </c>
      <c r="D392" s="189"/>
      <c r="E392" s="190"/>
      <c r="F392" s="276">
        <v>2</v>
      </c>
      <c r="G392" s="193"/>
      <c r="H392" s="193"/>
      <c r="I392" s="192" t="s">
        <v>1050</v>
      </c>
      <c r="J392" s="220">
        <v>2.8000000000000001E-2</v>
      </c>
      <c r="K392" s="286">
        <v>192</v>
      </c>
      <c r="L392" s="286">
        <v>6</v>
      </c>
      <c r="M392" s="339" t="s">
        <v>1025</v>
      </c>
      <c r="N392" s="286">
        <v>1.6E-2</v>
      </c>
      <c r="O392" s="286">
        <v>48</v>
      </c>
      <c r="P392" s="286">
        <v>1.4</v>
      </c>
      <c r="Q392" s="286" t="s">
        <v>1051</v>
      </c>
      <c r="R392" s="286">
        <v>1.5E-3</v>
      </c>
    </row>
    <row r="393" spans="1:18" s="186" customFormat="1" ht="12.75">
      <c r="A393" s="217"/>
      <c r="B393" s="187" t="s">
        <v>1230</v>
      </c>
      <c r="C393" s="218" t="s">
        <v>1146</v>
      </c>
      <c r="D393" s="189"/>
      <c r="E393" s="190"/>
      <c r="F393" s="276">
        <v>2</v>
      </c>
      <c r="G393" s="193"/>
      <c r="H393" s="193"/>
      <c r="I393" s="192" t="s">
        <v>1050</v>
      </c>
      <c r="J393" s="220">
        <v>2.8000000000000001E-2</v>
      </c>
      <c r="K393" s="286">
        <v>192</v>
      </c>
      <c r="L393" s="286">
        <v>6</v>
      </c>
      <c r="M393" s="339" t="s">
        <v>1025</v>
      </c>
      <c r="N393" s="286">
        <v>1.6E-2</v>
      </c>
      <c r="O393" s="286">
        <v>48</v>
      </c>
      <c r="P393" s="286">
        <v>1.4</v>
      </c>
      <c r="Q393" s="286" t="s">
        <v>1051</v>
      </c>
      <c r="R393" s="286">
        <v>1.5E-3</v>
      </c>
    </row>
    <row r="394" spans="1:18" s="186" customFormat="1" ht="12.75">
      <c r="A394" s="217"/>
      <c r="B394" s="187" t="s">
        <v>1231</v>
      </c>
      <c r="C394" s="218" t="s">
        <v>1147</v>
      </c>
      <c r="D394" s="189"/>
      <c r="E394" s="190"/>
      <c r="F394" s="276">
        <v>2</v>
      </c>
      <c r="G394" s="193"/>
      <c r="H394" s="193"/>
      <c r="I394" s="192" t="s">
        <v>1050</v>
      </c>
      <c r="J394" s="220">
        <v>2.8000000000000001E-2</v>
      </c>
      <c r="K394" s="286">
        <v>192</v>
      </c>
      <c r="L394" s="286">
        <v>6</v>
      </c>
      <c r="M394" s="339" t="s">
        <v>1025</v>
      </c>
      <c r="N394" s="286">
        <v>1.6E-2</v>
      </c>
      <c r="O394" s="286">
        <v>48</v>
      </c>
      <c r="P394" s="286">
        <v>1.4</v>
      </c>
      <c r="Q394" s="286" t="s">
        <v>1051</v>
      </c>
      <c r="R394" s="286">
        <v>1.5E-3</v>
      </c>
    </row>
    <row r="395" spans="1:18" s="186" customFormat="1" ht="12.75">
      <c r="A395" s="217"/>
      <c r="B395" s="187" t="s">
        <v>1232</v>
      </c>
      <c r="C395" s="218" t="s">
        <v>1148</v>
      </c>
      <c r="D395" s="189"/>
      <c r="E395" s="190"/>
      <c r="F395" s="276">
        <v>2</v>
      </c>
      <c r="G395" s="193"/>
      <c r="H395" s="193"/>
      <c r="I395" s="192" t="s">
        <v>1050</v>
      </c>
      <c r="J395" s="220">
        <v>2.8000000000000001E-2</v>
      </c>
      <c r="K395" s="286">
        <v>192</v>
      </c>
      <c r="L395" s="286">
        <v>6</v>
      </c>
      <c r="M395" s="339" t="s">
        <v>1025</v>
      </c>
      <c r="N395" s="286">
        <v>1.6E-2</v>
      </c>
      <c r="O395" s="286">
        <v>48</v>
      </c>
      <c r="P395" s="286">
        <v>1.4</v>
      </c>
      <c r="Q395" s="286" t="s">
        <v>1051</v>
      </c>
      <c r="R395" s="286">
        <v>1.5E-3</v>
      </c>
    </row>
    <row r="396" spans="1:18" s="186" customFormat="1" ht="12.75">
      <c r="A396" s="217"/>
      <c r="B396" s="187" t="s">
        <v>1233</v>
      </c>
      <c r="C396" s="218" t="s">
        <v>1149</v>
      </c>
      <c r="D396" s="189"/>
      <c r="E396" s="190"/>
      <c r="F396" s="276">
        <v>2</v>
      </c>
      <c r="G396" s="193"/>
      <c r="H396" s="193"/>
      <c r="I396" s="192" t="s">
        <v>1050</v>
      </c>
      <c r="J396" s="220">
        <v>2.8000000000000001E-2</v>
      </c>
      <c r="K396" s="286">
        <v>192</v>
      </c>
      <c r="L396" s="286">
        <v>6</v>
      </c>
      <c r="M396" s="339" t="s">
        <v>1025</v>
      </c>
      <c r="N396" s="286">
        <v>1.6E-2</v>
      </c>
      <c r="O396" s="286">
        <v>48</v>
      </c>
      <c r="P396" s="286">
        <v>1.4</v>
      </c>
      <c r="Q396" s="286" t="s">
        <v>1051</v>
      </c>
      <c r="R396" s="286">
        <v>1.5E-3</v>
      </c>
    </row>
    <row r="397" spans="1:18" s="186" customFormat="1" ht="12.75">
      <c r="A397" s="217"/>
      <c r="B397" s="187" t="s">
        <v>1234</v>
      </c>
      <c r="C397" s="218" t="s">
        <v>1150</v>
      </c>
      <c r="D397" s="189"/>
      <c r="E397" s="190"/>
      <c r="F397" s="276">
        <v>2</v>
      </c>
      <c r="G397" s="193"/>
      <c r="H397" s="193"/>
      <c r="I397" s="192" t="s">
        <v>1050</v>
      </c>
      <c r="J397" s="220">
        <v>2.8000000000000001E-2</v>
      </c>
      <c r="K397" s="286">
        <v>192</v>
      </c>
      <c r="L397" s="286">
        <v>6</v>
      </c>
      <c r="M397" s="339" t="s">
        <v>1025</v>
      </c>
      <c r="N397" s="286">
        <v>1.6E-2</v>
      </c>
      <c r="O397" s="286">
        <v>48</v>
      </c>
      <c r="P397" s="286">
        <v>1.4</v>
      </c>
      <c r="Q397" s="286" t="s">
        <v>1051</v>
      </c>
      <c r="R397" s="286">
        <v>1.5E-3</v>
      </c>
    </row>
    <row r="398" spans="1:18" s="186" customFormat="1" ht="12.75">
      <c r="A398" s="217"/>
      <c r="B398" s="187" t="s">
        <v>1235</v>
      </c>
      <c r="C398" s="218" t="s">
        <v>1160</v>
      </c>
      <c r="D398" s="189"/>
      <c r="E398" s="190"/>
      <c r="F398" s="276">
        <v>0.1</v>
      </c>
      <c r="G398" s="193"/>
      <c r="H398" s="193"/>
      <c r="I398" s="192" t="s">
        <v>1050</v>
      </c>
      <c r="J398" s="220">
        <v>2.8000000000000001E-2</v>
      </c>
      <c r="K398" s="286">
        <v>192</v>
      </c>
      <c r="L398" s="286">
        <v>6</v>
      </c>
      <c r="M398" s="339" t="s">
        <v>1025</v>
      </c>
      <c r="N398" s="286">
        <v>1.6E-2</v>
      </c>
      <c r="O398" s="286">
        <v>48</v>
      </c>
      <c r="P398" s="286">
        <v>1.4</v>
      </c>
      <c r="Q398" s="286" t="s">
        <v>1051</v>
      </c>
      <c r="R398" s="286">
        <v>1.5E-3</v>
      </c>
    </row>
    <row r="399" spans="1:18" s="186" customFormat="1" ht="12.75">
      <c r="A399" s="217"/>
      <c r="B399" s="187" t="s">
        <v>1236</v>
      </c>
      <c r="C399" s="218" t="s">
        <v>1151</v>
      </c>
      <c r="D399" s="189"/>
      <c r="E399" s="190"/>
      <c r="F399" s="276">
        <v>2</v>
      </c>
      <c r="G399" s="193"/>
      <c r="H399" s="193"/>
      <c r="I399" s="192" t="s">
        <v>1050</v>
      </c>
      <c r="J399" s="220">
        <v>2.8000000000000001E-2</v>
      </c>
      <c r="K399" s="286">
        <v>192</v>
      </c>
      <c r="L399" s="286">
        <v>6</v>
      </c>
      <c r="M399" s="339" t="s">
        <v>1025</v>
      </c>
      <c r="N399" s="286">
        <v>1.6E-2</v>
      </c>
      <c r="O399" s="286">
        <v>48</v>
      </c>
      <c r="P399" s="286">
        <v>1.4</v>
      </c>
      <c r="Q399" s="286" t="s">
        <v>1051</v>
      </c>
      <c r="R399" s="286">
        <v>1.5E-3</v>
      </c>
    </row>
    <row r="400" spans="1:18" s="186" customFormat="1" ht="12.75">
      <c r="A400" s="217"/>
      <c r="B400" s="187" t="s">
        <v>1237</v>
      </c>
      <c r="C400" s="218" t="s">
        <v>1152</v>
      </c>
      <c r="D400" s="189"/>
      <c r="E400" s="190"/>
      <c r="F400" s="276">
        <v>2</v>
      </c>
      <c r="G400" s="193"/>
      <c r="H400" s="193"/>
      <c r="I400" s="192" t="s">
        <v>1050</v>
      </c>
      <c r="J400" s="220">
        <v>2.8000000000000001E-2</v>
      </c>
      <c r="K400" s="286">
        <v>192</v>
      </c>
      <c r="L400" s="286">
        <v>6</v>
      </c>
      <c r="M400" s="339" t="s">
        <v>1025</v>
      </c>
      <c r="N400" s="286">
        <v>1.6E-2</v>
      </c>
      <c r="O400" s="286">
        <v>48</v>
      </c>
      <c r="P400" s="286">
        <v>1.4</v>
      </c>
      <c r="Q400" s="286" t="s">
        <v>1051</v>
      </c>
      <c r="R400" s="286">
        <v>1.5E-3</v>
      </c>
    </row>
    <row r="401" spans="1:18" s="186" customFormat="1" ht="12.75">
      <c r="A401" s="217"/>
      <c r="B401" s="187" t="s">
        <v>1238</v>
      </c>
      <c r="C401" s="218" t="s">
        <v>1161</v>
      </c>
      <c r="D401" s="189"/>
      <c r="E401" s="190"/>
      <c r="F401" s="276">
        <v>0.1</v>
      </c>
      <c r="G401" s="193"/>
      <c r="H401" s="193"/>
      <c r="I401" s="192" t="s">
        <v>1050</v>
      </c>
      <c r="J401" s="220">
        <v>2.8000000000000001E-2</v>
      </c>
      <c r="K401" s="286">
        <v>192</v>
      </c>
      <c r="L401" s="286">
        <v>6</v>
      </c>
      <c r="M401" s="339" t="s">
        <v>1025</v>
      </c>
      <c r="N401" s="286">
        <v>1.6E-2</v>
      </c>
      <c r="O401" s="286">
        <v>48</v>
      </c>
      <c r="P401" s="286">
        <v>1.4</v>
      </c>
      <c r="Q401" s="286" t="s">
        <v>1051</v>
      </c>
      <c r="R401" s="286">
        <v>1.5E-3</v>
      </c>
    </row>
    <row r="402" spans="1:18" s="186" customFormat="1" ht="12.75">
      <c r="A402" s="217"/>
      <c r="B402" s="187" t="s">
        <v>1239</v>
      </c>
      <c r="C402" s="218" t="s">
        <v>1279</v>
      </c>
      <c r="D402" s="189"/>
      <c r="E402" s="190"/>
      <c r="F402" s="276">
        <v>0.1</v>
      </c>
      <c r="G402" s="193"/>
      <c r="H402" s="193"/>
      <c r="I402" s="192" t="s">
        <v>1050</v>
      </c>
      <c r="J402" s="220">
        <v>2.8000000000000001E-2</v>
      </c>
      <c r="K402" s="286">
        <v>192</v>
      </c>
      <c r="L402" s="286">
        <v>6</v>
      </c>
      <c r="M402" s="339" t="s">
        <v>1025</v>
      </c>
      <c r="N402" s="286">
        <v>1.6E-2</v>
      </c>
      <c r="O402" s="286">
        <v>48</v>
      </c>
      <c r="P402" s="286">
        <v>1.4</v>
      </c>
      <c r="Q402" s="286" t="s">
        <v>1051</v>
      </c>
      <c r="R402" s="286">
        <v>1.5E-3</v>
      </c>
    </row>
    <row r="403" spans="1:18" s="186" customFormat="1" ht="12.75">
      <c r="A403" s="217"/>
      <c r="B403" s="187" t="s">
        <v>1240</v>
      </c>
      <c r="C403" s="218" t="s">
        <v>1153</v>
      </c>
      <c r="D403" s="189"/>
      <c r="E403" s="190"/>
      <c r="F403" s="276">
        <v>2</v>
      </c>
      <c r="G403" s="193"/>
      <c r="H403" s="193"/>
      <c r="I403" s="192" t="s">
        <v>1050</v>
      </c>
      <c r="J403" s="220">
        <v>2.8000000000000001E-2</v>
      </c>
      <c r="K403" s="286">
        <v>192</v>
      </c>
      <c r="L403" s="286">
        <v>6</v>
      </c>
      <c r="M403" s="339" t="s">
        <v>1025</v>
      </c>
      <c r="N403" s="286">
        <v>1.6E-2</v>
      </c>
      <c r="O403" s="286">
        <v>48</v>
      </c>
      <c r="P403" s="286">
        <v>1.4</v>
      </c>
      <c r="Q403" s="286" t="s">
        <v>1051</v>
      </c>
      <c r="R403" s="286">
        <v>1.5E-3</v>
      </c>
    </row>
    <row r="404" spans="1:18" s="186" customFormat="1" ht="12.75">
      <c r="A404" s="217"/>
      <c r="B404" s="187" t="s">
        <v>1241</v>
      </c>
      <c r="C404" s="218" t="s">
        <v>1154</v>
      </c>
      <c r="D404" s="189"/>
      <c r="E404" s="190"/>
      <c r="F404" s="276">
        <v>2</v>
      </c>
      <c r="G404" s="193"/>
      <c r="H404" s="193"/>
      <c r="I404" s="192" t="s">
        <v>1050</v>
      </c>
      <c r="J404" s="220">
        <v>2.8000000000000001E-2</v>
      </c>
      <c r="K404" s="286">
        <v>192</v>
      </c>
      <c r="L404" s="286">
        <v>6</v>
      </c>
      <c r="M404" s="339" t="s">
        <v>1025</v>
      </c>
      <c r="N404" s="286">
        <v>1.6E-2</v>
      </c>
      <c r="O404" s="286">
        <v>48</v>
      </c>
      <c r="P404" s="286">
        <v>1.4</v>
      </c>
      <c r="Q404" s="286" t="s">
        <v>1051</v>
      </c>
      <c r="R404" s="286">
        <v>1.5E-3</v>
      </c>
    </row>
    <row r="405" spans="1:18" s="186" customFormat="1" ht="12.75">
      <c r="A405" s="217"/>
      <c r="B405" s="187" t="s">
        <v>1242</v>
      </c>
      <c r="C405" s="218" t="s">
        <v>1155</v>
      </c>
      <c r="D405" s="189"/>
      <c r="E405" s="190"/>
      <c r="F405" s="276">
        <v>2</v>
      </c>
      <c r="G405" s="193"/>
      <c r="H405" s="193"/>
      <c r="I405" s="192" t="s">
        <v>1050</v>
      </c>
      <c r="J405" s="220">
        <v>2.8000000000000001E-2</v>
      </c>
      <c r="K405" s="286">
        <v>192</v>
      </c>
      <c r="L405" s="286">
        <v>6</v>
      </c>
      <c r="M405" s="339" t="s">
        <v>1025</v>
      </c>
      <c r="N405" s="286">
        <v>1.6E-2</v>
      </c>
      <c r="O405" s="286">
        <v>48</v>
      </c>
      <c r="P405" s="286">
        <v>1.4</v>
      </c>
      <c r="Q405" s="286" t="s">
        <v>1051</v>
      </c>
      <c r="R405" s="286">
        <v>1.5E-3</v>
      </c>
    </row>
    <row r="406" spans="1:18" s="186" customFormat="1" ht="12.75">
      <c r="A406" s="217"/>
      <c r="B406" s="187" t="s">
        <v>1243</v>
      </c>
      <c r="C406" s="218" t="s">
        <v>1280</v>
      </c>
      <c r="D406" s="189"/>
      <c r="E406" s="190"/>
      <c r="F406" s="276">
        <v>0.1</v>
      </c>
      <c r="G406" s="193"/>
      <c r="H406" s="193"/>
      <c r="I406" s="192" t="s">
        <v>1050</v>
      </c>
      <c r="J406" s="220">
        <v>2.8000000000000001E-2</v>
      </c>
      <c r="K406" s="286">
        <v>192</v>
      </c>
      <c r="L406" s="286">
        <v>6</v>
      </c>
      <c r="M406" s="339" t="s">
        <v>1025</v>
      </c>
      <c r="N406" s="286">
        <v>1.6E-2</v>
      </c>
      <c r="O406" s="286">
        <v>48</v>
      </c>
      <c r="P406" s="286">
        <v>1.4</v>
      </c>
      <c r="Q406" s="286" t="s">
        <v>1051</v>
      </c>
      <c r="R406" s="286">
        <v>1.5E-3</v>
      </c>
    </row>
    <row r="407" spans="1:18" s="186" customFormat="1" ht="12.75">
      <c r="A407" s="217"/>
      <c r="B407" s="187" t="s">
        <v>1244</v>
      </c>
      <c r="C407" s="218" t="s">
        <v>1156</v>
      </c>
      <c r="D407" s="189"/>
      <c r="E407" s="190"/>
      <c r="F407" s="276">
        <v>2</v>
      </c>
      <c r="G407" s="193"/>
      <c r="H407" s="193"/>
      <c r="I407" s="192" t="s">
        <v>1050</v>
      </c>
      <c r="J407" s="220">
        <v>2.8000000000000001E-2</v>
      </c>
      <c r="K407" s="286">
        <v>192</v>
      </c>
      <c r="L407" s="286">
        <v>6</v>
      </c>
      <c r="M407" s="339" t="s">
        <v>1025</v>
      </c>
      <c r="N407" s="286">
        <v>1.6E-2</v>
      </c>
      <c r="O407" s="286">
        <v>48</v>
      </c>
      <c r="P407" s="286">
        <v>1.4</v>
      </c>
      <c r="Q407" s="286" t="s">
        <v>1051</v>
      </c>
      <c r="R407" s="286">
        <v>1.5E-3</v>
      </c>
    </row>
    <row r="408" spans="1:18" s="186" customFormat="1" ht="12.75">
      <c r="A408" s="217"/>
      <c r="B408" s="187" t="s">
        <v>1245</v>
      </c>
      <c r="C408" s="218" t="s">
        <v>1157</v>
      </c>
      <c r="D408" s="189"/>
      <c r="E408" s="190"/>
      <c r="F408" s="276">
        <v>2</v>
      </c>
      <c r="G408" s="193"/>
      <c r="H408" s="193"/>
      <c r="I408" s="192" t="s">
        <v>1050</v>
      </c>
      <c r="J408" s="220">
        <v>2.8000000000000001E-2</v>
      </c>
      <c r="K408" s="286">
        <v>192</v>
      </c>
      <c r="L408" s="286">
        <v>6</v>
      </c>
      <c r="M408" s="339" t="s">
        <v>1025</v>
      </c>
      <c r="N408" s="286">
        <v>1.6E-2</v>
      </c>
      <c r="O408" s="286">
        <v>48</v>
      </c>
      <c r="P408" s="286">
        <v>1.4</v>
      </c>
      <c r="Q408" s="286" t="s">
        <v>1051</v>
      </c>
      <c r="R408" s="286">
        <v>1.5E-3</v>
      </c>
    </row>
    <row r="409" spans="1:18" s="186" customFormat="1" ht="12.75">
      <c r="A409" s="217"/>
      <c r="B409" s="187" t="s">
        <v>1246</v>
      </c>
      <c r="C409" s="218" t="s">
        <v>1281</v>
      </c>
      <c r="D409" s="189"/>
      <c r="E409" s="190"/>
      <c r="F409" s="276">
        <v>2</v>
      </c>
      <c r="G409" s="193"/>
      <c r="H409" s="193"/>
      <c r="I409" s="192" t="s">
        <v>1050</v>
      </c>
      <c r="J409" s="220">
        <v>2.8000000000000001E-2</v>
      </c>
      <c r="K409" s="286">
        <v>192</v>
      </c>
      <c r="L409" s="286">
        <v>6</v>
      </c>
      <c r="M409" s="339" t="s">
        <v>1025</v>
      </c>
      <c r="N409" s="286">
        <v>1.6E-2</v>
      </c>
      <c r="O409" s="286">
        <v>48</v>
      </c>
      <c r="P409" s="286">
        <v>1.4</v>
      </c>
      <c r="Q409" s="286" t="s">
        <v>1051</v>
      </c>
      <c r="R409" s="286">
        <v>1.5E-3</v>
      </c>
    </row>
    <row r="410" spans="1:18" s="186" customFormat="1" ht="12.75">
      <c r="A410" s="217"/>
      <c r="B410" s="187" t="s">
        <v>1247</v>
      </c>
      <c r="C410" s="218" t="s">
        <v>1158</v>
      </c>
      <c r="D410" s="189"/>
      <c r="E410" s="190"/>
      <c r="F410" s="276">
        <v>2</v>
      </c>
      <c r="G410" s="193"/>
      <c r="H410" s="193"/>
      <c r="I410" s="192" t="s">
        <v>1050</v>
      </c>
      <c r="J410" s="220">
        <v>2.8000000000000001E-2</v>
      </c>
      <c r="K410" s="286">
        <v>192</v>
      </c>
      <c r="L410" s="286">
        <v>6</v>
      </c>
      <c r="M410" s="339" t="s">
        <v>1025</v>
      </c>
      <c r="N410" s="286">
        <v>1.6E-2</v>
      </c>
      <c r="O410" s="286">
        <v>48</v>
      </c>
      <c r="P410" s="286">
        <v>1.4</v>
      </c>
      <c r="Q410" s="286" t="s">
        <v>1051</v>
      </c>
      <c r="R410" s="286">
        <v>1.5E-3</v>
      </c>
    </row>
    <row r="411" spans="1:18" s="186" customFormat="1" ht="12.75">
      <c r="A411" s="217"/>
      <c r="B411" s="187"/>
      <c r="C411" s="218"/>
      <c r="D411" s="189"/>
      <c r="E411" s="190"/>
      <c r="F411" s="276"/>
      <c r="G411" s="193"/>
      <c r="H411" s="193"/>
      <c r="I411" s="192"/>
      <c r="J411" s="220"/>
      <c r="K411" s="286"/>
      <c r="L411" s="286"/>
      <c r="M411" s="286"/>
      <c r="N411" s="286"/>
      <c r="O411" s="286"/>
      <c r="P411" s="286"/>
      <c r="Q411" s="286"/>
      <c r="R411" s="286"/>
    </row>
    <row r="412" spans="1:18" s="186" customFormat="1" ht="12.75">
      <c r="A412" s="217"/>
      <c r="B412" s="187" t="s">
        <v>1248</v>
      </c>
      <c r="C412" s="218" t="s">
        <v>1164</v>
      </c>
      <c r="D412" s="189"/>
      <c r="E412" s="190"/>
      <c r="F412" s="276">
        <v>2</v>
      </c>
      <c r="G412" s="193"/>
      <c r="H412" s="193"/>
      <c r="I412" s="192" t="s">
        <v>1050</v>
      </c>
      <c r="J412" s="220">
        <v>2.8000000000000001E-2</v>
      </c>
      <c r="K412" s="286">
        <v>192</v>
      </c>
      <c r="L412" s="286">
        <v>6</v>
      </c>
      <c r="M412" s="339" t="s">
        <v>1025</v>
      </c>
      <c r="N412" s="286">
        <v>1.6E-2</v>
      </c>
      <c r="O412" s="286">
        <v>48</v>
      </c>
      <c r="P412" s="286">
        <v>1.4</v>
      </c>
      <c r="Q412" s="286" t="s">
        <v>1051</v>
      </c>
      <c r="R412" s="286">
        <v>1.5E-3</v>
      </c>
    </row>
    <row r="413" spans="1:18" s="186" customFormat="1" ht="12.75">
      <c r="A413" s="217"/>
      <c r="B413" s="187" t="s">
        <v>1249</v>
      </c>
      <c r="C413" s="218" t="s">
        <v>1165</v>
      </c>
      <c r="D413" s="189"/>
      <c r="E413" s="190"/>
      <c r="F413" s="276">
        <v>2</v>
      </c>
      <c r="G413" s="193"/>
      <c r="H413" s="193"/>
      <c r="I413" s="192" t="s">
        <v>1050</v>
      </c>
      <c r="J413" s="220">
        <v>2.8000000000000001E-2</v>
      </c>
      <c r="K413" s="286">
        <v>192</v>
      </c>
      <c r="L413" s="286">
        <v>6</v>
      </c>
      <c r="M413" s="339" t="s">
        <v>1025</v>
      </c>
      <c r="N413" s="286">
        <v>1.6E-2</v>
      </c>
      <c r="O413" s="286">
        <v>48</v>
      </c>
      <c r="P413" s="286">
        <v>1.4</v>
      </c>
      <c r="Q413" s="286" t="s">
        <v>1051</v>
      </c>
      <c r="R413" s="286">
        <v>1.5E-3</v>
      </c>
    </row>
    <row r="414" spans="1:18" s="186" customFormat="1" ht="12.75">
      <c r="A414" s="217"/>
      <c r="B414" s="187" t="s">
        <v>1250</v>
      </c>
      <c r="C414" s="218" t="s">
        <v>1166</v>
      </c>
      <c r="D414" s="189"/>
      <c r="E414" s="190"/>
      <c r="F414" s="276">
        <v>2</v>
      </c>
      <c r="G414" s="193"/>
      <c r="H414" s="193"/>
      <c r="I414" s="192" t="s">
        <v>1050</v>
      </c>
      <c r="J414" s="220">
        <v>2.8000000000000001E-2</v>
      </c>
      <c r="K414" s="286">
        <v>192</v>
      </c>
      <c r="L414" s="286">
        <v>6</v>
      </c>
      <c r="M414" s="339" t="s">
        <v>1025</v>
      </c>
      <c r="N414" s="286">
        <v>1.6E-2</v>
      </c>
      <c r="O414" s="286">
        <v>48</v>
      </c>
      <c r="P414" s="286">
        <v>1.4</v>
      </c>
      <c r="Q414" s="286" t="s">
        <v>1051</v>
      </c>
      <c r="R414" s="286">
        <v>1.5E-3</v>
      </c>
    </row>
    <row r="415" spans="1:18" s="186" customFormat="1" ht="12.75">
      <c r="A415" s="217"/>
      <c r="B415" s="187" t="s">
        <v>1251</v>
      </c>
      <c r="C415" s="218" t="s">
        <v>1167</v>
      </c>
      <c r="D415" s="189"/>
      <c r="E415" s="190"/>
      <c r="F415" s="276">
        <v>2</v>
      </c>
      <c r="G415" s="193"/>
      <c r="H415" s="193"/>
      <c r="I415" s="192" t="s">
        <v>1050</v>
      </c>
      <c r="J415" s="220">
        <v>2.8000000000000001E-2</v>
      </c>
      <c r="K415" s="286">
        <v>192</v>
      </c>
      <c r="L415" s="286">
        <v>6</v>
      </c>
      <c r="M415" s="339" t="s">
        <v>1025</v>
      </c>
      <c r="N415" s="286">
        <v>1.6E-2</v>
      </c>
      <c r="O415" s="286">
        <v>48</v>
      </c>
      <c r="P415" s="286">
        <v>1.4</v>
      </c>
      <c r="Q415" s="286" t="s">
        <v>1051</v>
      </c>
      <c r="R415" s="286">
        <v>1.5E-3</v>
      </c>
    </row>
    <row r="416" spans="1:18" s="186" customFormat="1" ht="12.75">
      <c r="A416" s="217"/>
      <c r="B416" s="187" t="s">
        <v>1252</v>
      </c>
      <c r="C416" s="218" t="s">
        <v>1168</v>
      </c>
      <c r="D416" s="189"/>
      <c r="E416" s="190"/>
      <c r="F416" s="276">
        <v>2</v>
      </c>
      <c r="G416" s="193"/>
      <c r="H416" s="193"/>
      <c r="I416" s="192" t="s">
        <v>1050</v>
      </c>
      <c r="J416" s="220">
        <v>2.8000000000000001E-2</v>
      </c>
      <c r="K416" s="286">
        <v>192</v>
      </c>
      <c r="L416" s="286">
        <v>6</v>
      </c>
      <c r="M416" s="339" t="s">
        <v>1025</v>
      </c>
      <c r="N416" s="286">
        <v>1.6E-2</v>
      </c>
      <c r="O416" s="286">
        <v>48</v>
      </c>
      <c r="P416" s="286">
        <v>1.4</v>
      </c>
      <c r="Q416" s="286" t="s">
        <v>1051</v>
      </c>
      <c r="R416" s="286">
        <v>1.5E-3</v>
      </c>
    </row>
    <row r="417" spans="1:18" s="186" customFormat="1" ht="12.75">
      <c r="A417" s="217"/>
      <c r="B417" s="187"/>
      <c r="C417" s="218"/>
      <c r="D417" s="189"/>
      <c r="E417" s="190"/>
      <c r="F417" s="276"/>
      <c r="G417" s="193"/>
      <c r="H417" s="193"/>
      <c r="I417" s="192"/>
      <c r="J417" s="220"/>
      <c r="K417" s="286"/>
      <c r="L417" s="286"/>
      <c r="M417" s="286"/>
      <c r="N417" s="286"/>
      <c r="O417" s="286"/>
      <c r="P417" s="286"/>
      <c r="Q417" s="286"/>
      <c r="R417" s="286"/>
    </row>
    <row r="418" spans="1:18" s="186" customFormat="1" ht="12.75">
      <c r="A418" s="217"/>
      <c r="B418" s="187" t="s">
        <v>1253</v>
      </c>
      <c r="C418" s="218" t="s">
        <v>1169</v>
      </c>
      <c r="D418" s="189"/>
      <c r="E418" s="190"/>
      <c r="F418" s="276">
        <v>2</v>
      </c>
      <c r="G418" s="193"/>
      <c r="H418" s="193"/>
      <c r="I418" s="192" t="s">
        <v>1050</v>
      </c>
      <c r="J418" s="220">
        <v>2.8000000000000001E-2</v>
      </c>
      <c r="K418" s="286">
        <v>192</v>
      </c>
      <c r="L418" s="286">
        <v>6</v>
      </c>
      <c r="M418" s="339" t="s">
        <v>1025</v>
      </c>
      <c r="N418" s="286">
        <v>1.6E-2</v>
      </c>
      <c r="O418" s="286">
        <v>48</v>
      </c>
      <c r="P418" s="286">
        <v>1.4</v>
      </c>
      <c r="Q418" s="286" t="s">
        <v>1051</v>
      </c>
      <c r="R418" s="286">
        <v>1.5E-3</v>
      </c>
    </row>
    <row r="419" spans="1:18" s="186" customFormat="1" ht="12.75">
      <c r="A419" s="217"/>
      <c r="B419" s="187" t="s">
        <v>1254</v>
      </c>
      <c r="C419" s="218" t="s">
        <v>1170</v>
      </c>
      <c r="D419" s="189"/>
      <c r="E419" s="190"/>
      <c r="F419" s="276">
        <v>2</v>
      </c>
      <c r="G419" s="193"/>
      <c r="H419" s="193"/>
      <c r="I419" s="192" t="s">
        <v>1050</v>
      </c>
      <c r="J419" s="220">
        <v>2.8000000000000001E-2</v>
      </c>
      <c r="K419" s="286">
        <v>192</v>
      </c>
      <c r="L419" s="286">
        <v>6</v>
      </c>
      <c r="M419" s="339" t="s">
        <v>1025</v>
      </c>
      <c r="N419" s="286">
        <v>1.6E-2</v>
      </c>
      <c r="O419" s="286">
        <v>48</v>
      </c>
      <c r="P419" s="286">
        <v>1.4</v>
      </c>
      <c r="Q419" s="286" t="s">
        <v>1051</v>
      </c>
      <c r="R419" s="286">
        <v>1.5E-3</v>
      </c>
    </row>
    <row r="420" spans="1:18" s="186" customFormat="1" ht="12.75">
      <c r="A420" s="217"/>
      <c r="B420" s="187" t="s">
        <v>1255</v>
      </c>
      <c r="C420" s="218" t="s">
        <v>1171</v>
      </c>
      <c r="D420" s="189"/>
      <c r="E420" s="190"/>
      <c r="F420" s="276">
        <v>2</v>
      </c>
      <c r="G420" s="193"/>
      <c r="H420" s="193"/>
      <c r="I420" s="192" t="s">
        <v>1050</v>
      </c>
      <c r="J420" s="220">
        <v>2.8000000000000001E-2</v>
      </c>
      <c r="K420" s="286">
        <v>192</v>
      </c>
      <c r="L420" s="286">
        <v>6</v>
      </c>
      <c r="M420" s="339" t="s">
        <v>1025</v>
      </c>
      <c r="N420" s="286">
        <v>1.6E-2</v>
      </c>
      <c r="O420" s="286">
        <v>48</v>
      </c>
      <c r="P420" s="286">
        <v>1.4</v>
      </c>
      <c r="Q420" s="286" t="s">
        <v>1051</v>
      </c>
      <c r="R420" s="286">
        <v>1.5E-3</v>
      </c>
    </row>
    <row r="421" spans="1:18" s="186" customFormat="1" ht="12.75">
      <c r="A421" s="217"/>
      <c r="B421" s="187" t="s">
        <v>1256</v>
      </c>
      <c r="C421" s="218" t="s">
        <v>1172</v>
      </c>
      <c r="D421" s="189"/>
      <c r="E421" s="190"/>
      <c r="F421" s="276">
        <v>2</v>
      </c>
      <c r="G421" s="193"/>
      <c r="H421" s="193"/>
      <c r="I421" s="192" t="s">
        <v>1050</v>
      </c>
      <c r="J421" s="220">
        <v>2.8000000000000001E-2</v>
      </c>
      <c r="K421" s="286">
        <v>192</v>
      </c>
      <c r="L421" s="286">
        <v>6</v>
      </c>
      <c r="M421" s="339" t="s">
        <v>1025</v>
      </c>
      <c r="N421" s="286">
        <v>1.6E-2</v>
      </c>
      <c r="O421" s="286">
        <v>48</v>
      </c>
      <c r="P421" s="286">
        <v>1.4</v>
      </c>
      <c r="Q421" s="286" t="s">
        <v>1051</v>
      </c>
      <c r="R421" s="286">
        <v>1.5E-3</v>
      </c>
    </row>
    <row r="422" spans="1:18" s="186" customFormat="1" ht="12.75">
      <c r="A422" s="217"/>
      <c r="B422" s="187" t="s">
        <v>1257</v>
      </c>
      <c r="C422" s="218" t="s">
        <v>1173</v>
      </c>
      <c r="D422" s="189"/>
      <c r="E422" s="190"/>
      <c r="F422" s="276">
        <v>2</v>
      </c>
      <c r="G422" s="193"/>
      <c r="H422" s="193"/>
      <c r="I422" s="192" t="s">
        <v>1050</v>
      </c>
      <c r="J422" s="220">
        <v>2.8000000000000001E-2</v>
      </c>
      <c r="K422" s="286">
        <v>192</v>
      </c>
      <c r="L422" s="286">
        <v>6</v>
      </c>
      <c r="M422" s="339" t="s">
        <v>1025</v>
      </c>
      <c r="N422" s="286">
        <v>1.6E-2</v>
      </c>
      <c r="O422" s="286">
        <v>48</v>
      </c>
      <c r="P422" s="286">
        <v>1.4</v>
      </c>
      <c r="Q422" s="286" t="s">
        <v>1051</v>
      </c>
      <c r="R422" s="286">
        <v>1.5E-3</v>
      </c>
    </row>
    <row r="423" spans="1:18" s="186" customFormat="1" ht="12.75">
      <c r="A423" s="217"/>
      <c r="B423" s="187"/>
      <c r="C423" s="218"/>
      <c r="D423" s="189"/>
      <c r="E423" s="190"/>
      <c r="F423" s="276"/>
      <c r="G423" s="193"/>
      <c r="H423" s="193"/>
      <c r="I423" s="192" t="s">
        <v>1050</v>
      </c>
      <c r="J423" s="220">
        <v>2.8000000000000001E-2</v>
      </c>
      <c r="K423" s="286">
        <v>192</v>
      </c>
      <c r="L423" s="286">
        <v>6</v>
      </c>
      <c r="M423" s="339" t="s">
        <v>1025</v>
      </c>
      <c r="N423" s="286">
        <v>1.6E-2</v>
      </c>
      <c r="O423" s="286">
        <v>48</v>
      </c>
      <c r="P423" s="286">
        <v>1.4</v>
      </c>
      <c r="Q423" s="286" t="s">
        <v>1051</v>
      </c>
      <c r="R423" s="286">
        <v>1.5E-3</v>
      </c>
    </row>
    <row r="424" spans="1:18" s="186" customFormat="1" ht="12.75">
      <c r="A424" s="217"/>
      <c r="B424" s="187" t="s">
        <v>1274</v>
      </c>
      <c r="C424" s="218" t="s">
        <v>1174</v>
      </c>
      <c r="D424" s="189"/>
      <c r="E424" s="190"/>
      <c r="F424" s="276">
        <v>5</v>
      </c>
      <c r="G424" s="193"/>
      <c r="H424" s="193"/>
      <c r="I424" s="192" t="s">
        <v>1050</v>
      </c>
      <c r="J424" s="220">
        <v>2.8000000000000001E-2</v>
      </c>
      <c r="K424" s="286">
        <v>192</v>
      </c>
      <c r="L424" s="286">
        <v>6</v>
      </c>
      <c r="M424" s="339" t="s">
        <v>1025</v>
      </c>
      <c r="N424" s="286">
        <v>1.6E-2</v>
      </c>
      <c r="O424" s="286">
        <v>48</v>
      </c>
      <c r="P424" s="286">
        <v>1.4</v>
      </c>
      <c r="Q424" s="286" t="s">
        <v>1051</v>
      </c>
      <c r="R424" s="286">
        <v>1.5E-3</v>
      </c>
    </row>
    <row r="425" spans="1:18" s="186" customFormat="1" ht="12.75">
      <c r="A425" s="217"/>
      <c r="B425" s="187" t="s">
        <v>1275</v>
      </c>
      <c r="C425" s="218" t="s">
        <v>1175</v>
      </c>
      <c r="D425" s="189"/>
      <c r="E425" s="190"/>
      <c r="F425" s="276">
        <v>5</v>
      </c>
      <c r="G425" s="193"/>
      <c r="H425" s="193"/>
      <c r="I425" s="192" t="s">
        <v>1050</v>
      </c>
      <c r="J425" s="220">
        <v>2.8000000000000001E-2</v>
      </c>
      <c r="K425" s="286">
        <v>192</v>
      </c>
      <c r="L425" s="286">
        <v>6</v>
      </c>
      <c r="M425" s="339" t="s">
        <v>1025</v>
      </c>
      <c r="N425" s="286">
        <v>1.6E-2</v>
      </c>
      <c r="O425" s="286">
        <v>48</v>
      </c>
      <c r="P425" s="286">
        <v>1.4</v>
      </c>
      <c r="Q425" s="286" t="s">
        <v>1051</v>
      </c>
      <c r="R425" s="286">
        <v>1.5E-3</v>
      </c>
    </row>
    <row r="426" spans="1:18" s="186" customFormat="1" ht="12.75">
      <c r="A426" s="217"/>
      <c r="B426" s="187"/>
      <c r="C426" s="218"/>
      <c r="D426" s="189"/>
      <c r="E426" s="190"/>
      <c r="F426" s="276"/>
      <c r="G426" s="193"/>
      <c r="H426" s="193"/>
      <c r="I426" s="192"/>
      <c r="J426" s="220"/>
      <c r="K426" s="286"/>
      <c r="L426" s="286"/>
      <c r="M426" s="286"/>
      <c r="N426" s="286"/>
      <c r="O426" s="286"/>
      <c r="P426" s="286"/>
      <c r="Q426" s="286"/>
      <c r="R426" s="286"/>
    </row>
    <row r="427" spans="1:18" s="186" customFormat="1" ht="12.75">
      <c r="A427" s="217"/>
      <c r="B427" s="187" t="s">
        <v>1265</v>
      </c>
      <c r="C427" s="218" t="s">
        <v>1176</v>
      </c>
      <c r="D427" s="189"/>
      <c r="E427" s="190"/>
      <c r="F427" s="276">
        <v>5</v>
      </c>
      <c r="G427" s="193"/>
      <c r="H427" s="193"/>
      <c r="I427" s="192" t="s">
        <v>1050</v>
      </c>
      <c r="J427" s="220">
        <v>2.8000000000000001E-2</v>
      </c>
      <c r="K427" s="286">
        <v>192</v>
      </c>
      <c r="L427" s="286">
        <v>6</v>
      </c>
      <c r="M427" s="339" t="s">
        <v>1025</v>
      </c>
      <c r="N427" s="286">
        <v>1.6E-2</v>
      </c>
      <c r="O427" s="286">
        <v>48</v>
      </c>
      <c r="P427" s="286">
        <v>1.4</v>
      </c>
      <c r="Q427" s="286" t="s">
        <v>1051</v>
      </c>
      <c r="R427" s="286">
        <v>1.5E-3</v>
      </c>
    </row>
    <row r="428" spans="1:18" s="186" customFormat="1" ht="12.75">
      <c r="A428" s="217"/>
      <c r="B428" s="187" t="s">
        <v>1266</v>
      </c>
      <c r="C428" s="218" t="s">
        <v>1177</v>
      </c>
      <c r="D428" s="189"/>
      <c r="E428" s="190"/>
      <c r="F428" s="276">
        <v>5</v>
      </c>
      <c r="G428" s="193"/>
      <c r="H428" s="193"/>
      <c r="I428" s="192" t="s">
        <v>1050</v>
      </c>
      <c r="J428" s="220">
        <v>2.8000000000000001E-2</v>
      </c>
      <c r="K428" s="286">
        <v>192</v>
      </c>
      <c r="L428" s="286">
        <v>6</v>
      </c>
      <c r="M428" s="339" t="s">
        <v>1025</v>
      </c>
      <c r="N428" s="286">
        <v>1.6E-2</v>
      </c>
      <c r="O428" s="286">
        <v>48</v>
      </c>
      <c r="P428" s="286">
        <v>1.4</v>
      </c>
      <c r="Q428" s="286" t="s">
        <v>1051</v>
      </c>
      <c r="R428" s="286">
        <v>1.5E-3</v>
      </c>
    </row>
    <row r="429" spans="1:18" s="186" customFormat="1" ht="12.75">
      <c r="A429" s="217"/>
      <c r="B429" s="187" t="s">
        <v>1267</v>
      </c>
      <c r="C429" s="218" t="s">
        <v>1178</v>
      </c>
      <c r="D429" s="189"/>
      <c r="E429" s="190"/>
      <c r="F429" s="276">
        <v>5</v>
      </c>
      <c r="G429" s="193"/>
      <c r="H429" s="193"/>
      <c r="I429" s="192" t="s">
        <v>1050</v>
      </c>
      <c r="J429" s="220">
        <v>2.8000000000000001E-2</v>
      </c>
      <c r="K429" s="286">
        <v>192</v>
      </c>
      <c r="L429" s="286">
        <v>6</v>
      </c>
      <c r="M429" s="339" t="s">
        <v>1025</v>
      </c>
      <c r="N429" s="286">
        <v>1.6E-2</v>
      </c>
      <c r="O429" s="286">
        <v>48</v>
      </c>
      <c r="P429" s="286">
        <v>1.4</v>
      </c>
      <c r="Q429" s="286" t="s">
        <v>1051</v>
      </c>
      <c r="R429" s="286">
        <v>1.5E-3</v>
      </c>
    </row>
    <row r="430" spans="1:18" s="186" customFormat="1" ht="12.75">
      <c r="A430" s="217"/>
      <c r="B430" s="187" t="s">
        <v>1268</v>
      </c>
      <c r="C430" s="218" t="s">
        <v>1179</v>
      </c>
      <c r="D430" s="189"/>
      <c r="E430" s="190"/>
      <c r="F430" s="276">
        <v>5</v>
      </c>
      <c r="G430" s="193"/>
      <c r="H430" s="193"/>
      <c r="I430" s="192" t="s">
        <v>1050</v>
      </c>
      <c r="J430" s="220">
        <v>2.8000000000000001E-2</v>
      </c>
      <c r="K430" s="286">
        <v>192</v>
      </c>
      <c r="L430" s="286">
        <v>6</v>
      </c>
      <c r="M430" s="339" t="s">
        <v>1025</v>
      </c>
      <c r="N430" s="286">
        <v>1.6E-2</v>
      </c>
      <c r="O430" s="286">
        <v>48</v>
      </c>
      <c r="P430" s="286">
        <v>1.4</v>
      </c>
      <c r="Q430" s="286" t="s">
        <v>1051</v>
      </c>
      <c r="R430" s="286">
        <v>1.5E-3</v>
      </c>
    </row>
    <row r="431" spans="1:18" s="186" customFormat="1" ht="12.75">
      <c r="A431" s="217"/>
      <c r="B431" s="187"/>
      <c r="C431" s="218"/>
      <c r="D431" s="189"/>
      <c r="E431" s="190"/>
      <c r="F431" s="276"/>
      <c r="G431" s="193"/>
      <c r="H431" s="193"/>
      <c r="I431" s="192"/>
      <c r="J431" s="220"/>
      <c r="K431" s="286"/>
      <c r="L431" s="286"/>
      <c r="M431" s="286"/>
      <c r="N431" s="286"/>
      <c r="O431" s="286"/>
      <c r="P431" s="286"/>
      <c r="Q431" s="286"/>
      <c r="R431" s="286"/>
    </row>
    <row r="432" spans="1:18" s="186" customFormat="1" ht="12.75">
      <c r="A432" s="217"/>
      <c r="B432" s="187" t="s">
        <v>1269</v>
      </c>
      <c r="C432" s="218" t="s">
        <v>1180</v>
      </c>
      <c r="D432" s="189"/>
      <c r="E432" s="190"/>
      <c r="F432" s="276">
        <v>2</v>
      </c>
      <c r="G432" s="193"/>
      <c r="H432" s="193"/>
      <c r="I432" s="192" t="s">
        <v>1050</v>
      </c>
      <c r="J432" s="220">
        <v>2.8000000000000001E-2</v>
      </c>
      <c r="K432" s="286">
        <v>192</v>
      </c>
      <c r="L432" s="286">
        <v>6</v>
      </c>
      <c r="M432" s="339" t="s">
        <v>1025</v>
      </c>
      <c r="N432" s="286">
        <v>1.6E-2</v>
      </c>
      <c r="O432" s="286">
        <v>48</v>
      </c>
      <c r="P432" s="286">
        <v>1.4</v>
      </c>
      <c r="Q432" s="286" t="s">
        <v>1051</v>
      </c>
      <c r="R432" s="286">
        <v>1.5E-3</v>
      </c>
    </row>
    <row r="433" spans="1:18" s="186" customFormat="1" ht="12.75">
      <c r="A433" s="217"/>
      <c r="B433" s="187" t="s">
        <v>1270</v>
      </c>
      <c r="C433" s="218" t="s">
        <v>1181</v>
      </c>
      <c r="D433" s="189"/>
      <c r="E433" s="190"/>
      <c r="F433" s="276">
        <v>2</v>
      </c>
      <c r="G433" s="193"/>
      <c r="H433" s="193"/>
      <c r="I433" s="192" t="s">
        <v>1050</v>
      </c>
      <c r="J433" s="220">
        <v>2.8000000000000001E-2</v>
      </c>
      <c r="K433" s="286">
        <v>192</v>
      </c>
      <c r="L433" s="286">
        <v>6</v>
      </c>
      <c r="M433" s="339" t="s">
        <v>1025</v>
      </c>
      <c r="N433" s="286">
        <v>1.6E-2</v>
      </c>
      <c r="O433" s="286">
        <v>48</v>
      </c>
      <c r="P433" s="286">
        <v>1.4</v>
      </c>
      <c r="Q433" s="286" t="s">
        <v>1051</v>
      </c>
      <c r="R433" s="286">
        <v>1.5E-3</v>
      </c>
    </row>
    <row r="434" spans="1:18" s="186" customFormat="1" ht="12.75">
      <c r="A434" s="217"/>
      <c r="B434" s="187" t="s">
        <v>1271</v>
      </c>
      <c r="C434" s="218" t="s">
        <v>1182</v>
      </c>
      <c r="D434" s="189"/>
      <c r="E434" s="190"/>
      <c r="F434" s="276">
        <v>2</v>
      </c>
      <c r="G434" s="193"/>
      <c r="H434" s="193"/>
      <c r="I434" s="192" t="s">
        <v>1050</v>
      </c>
      <c r="J434" s="220">
        <v>2.8000000000000001E-2</v>
      </c>
      <c r="K434" s="286">
        <v>192</v>
      </c>
      <c r="L434" s="286">
        <v>6</v>
      </c>
      <c r="M434" s="339" t="s">
        <v>1025</v>
      </c>
      <c r="N434" s="286">
        <v>1.6E-2</v>
      </c>
      <c r="O434" s="286">
        <v>48</v>
      </c>
      <c r="P434" s="286">
        <v>1.4</v>
      </c>
      <c r="Q434" s="286" t="s">
        <v>1051</v>
      </c>
      <c r="R434" s="286">
        <v>1.5E-3</v>
      </c>
    </row>
    <row r="435" spans="1:18" s="186" customFormat="1" ht="12.75">
      <c r="A435" s="217"/>
      <c r="B435" s="187" t="s">
        <v>1272</v>
      </c>
      <c r="C435" s="218" t="s">
        <v>1183</v>
      </c>
      <c r="D435" s="189"/>
      <c r="E435" s="190"/>
      <c r="F435" s="276">
        <v>2</v>
      </c>
      <c r="G435" s="193"/>
      <c r="H435" s="193"/>
      <c r="I435" s="192" t="s">
        <v>1050</v>
      </c>
      <c r="J435" s="220">
        <v>2.8000000000000001E-2</v>
      </c>
      <c r="K435" s="286">
        <v>192</v>
      </c>
      <c r="L435" s="286">
        <v>6</v>
      </c>
      <c r="M435" s="339" t="s">
        <v>1025</v>
      </c>
      <c r="N435" s="286">
        <v>1.6E-2</v>
      </c>
      <c r="O435" s="286">
        <v>48</v>
      </c>
      <c r="P435" s="286">
        <v>1.4</v>
      </c>
      <c r="Q435" s="286" t="s">
        <v>1051</v>
      </c>
      <c r="R435" s="286">
        <v>1.5E-3</v>
      </c>
    </row>
    <row r="436" spans="1:18" s="186" customFormat="1" ht="12.75">
      <c r="A436" s="217"/>
      <c r="B436" s="187" t="s">
        <v>1273</v>
      </c>
      <c r="C436" s="218" t="s">
        <v>1184</v>
      </c>
      <c r="D436" s="189"/>
      <c r="E436" s="190"/>
      <c r="F436" s="276">
        <v>2</v>
      </c>
      <c r="G436" s="193"/>
      <c r="H436" s="193"/>
      <c r="I436" s="192" t="s">
        <v>1050</v>
      </c>
      <c r="J436" s="220">
        <v>2.8000000000000001E-2</v>
      </c>
      <c r="K436" s="286">
        <v>192</v>
      </c>
      <c r="L436" s="286">
        <v>6</v>
      </c>
      <c r="M436" s="339" t="s">
        <v>1025</v>
      </c>
      <c r="N436" s="286">
        <v>1.6E-2</v>
      </c>
      <c r="O436" s="286">
        <v>48</v>
      </c>
      <c r="P436" s="286">
        <v>1.4</v>
      </c>
      <c r="Q436" s="286" t="s">
        <v>1051</v>
      </c>
      <c r="R436" s="286">
        <v>1.5E-3</v>
      </c>
    </row>
  </sheetData>
  <phoneticPr fontId="2" type="noConversion"/>
  <printOptions horizontalCentered="1"/>
  <pageMargins left="0.24" right="0.23622047244094491" top="0.39" bottom="0.71" header="0" footer="0.26"/>
  <pageSetup paperSize="9" scale="58" fitToHeight="0" orientation="landscape" r:id="rId1"/>
  <headerFooter alignWithMargins="0"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WS_Order Form </vt:lpstr>
      <vt:lpstr>WS_Catalogue 2025</vt:lpstr>
      <vt:lpstr>'WS_Catalogue 2025'!Print_Area</vt:lpstr>
      <vt:lpstr>'WS_Order Form '!Print_Area</vt:lpstr>
      <vt:lpstr>'WS_Catalogue 2025'!Print_Titles</vt:lpstr>
      <vt:lpstr>'WS_Order Form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 W</cp:lastModifiedBy>
  <cp:lastPrinted>2019-01-13T08:16:46Z</cp:lastPrinted>
  <dcterms:created xsi:type="dcterms:W3CDTF">2013-10-15T01:22:32Z</dcterms:created>
  <dcterms:modified xsi:type="dcterms:W3CDTF">2025-09-09T05:05:45Z</dcterms:modified>
</cp:coreProperties>
</file>